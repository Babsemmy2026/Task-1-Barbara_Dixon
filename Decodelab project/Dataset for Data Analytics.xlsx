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sn\Downloads\DECODELABS\"/>
    </mc:Choice>
  </mc:AlternateContent>
  <xr:revisionPtr revIDLastSave="0" documentId="13_ncr:1_{3764FABE-950D-4A63-8783-BD04701602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_Orders" sheetId="1" r:id="rId1"/>
    <sheet name="Orders_Cleaned" sheetId="3" r:id="rId2"/>
    <sheet name="EDA_Summary" sheetId="5" r:id="rId3"/>
  </sheets>
  <definedNames>
    <definedName name="ExternalData_1" localSheetId="1" hidden="1">Orders_Cleaned!$A$1:$N$1201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C23" i="5"/>
  <c r="C22" i="5"/>
  <c r="C21" i="5"/>
  <c r="C20" i="5"/>
  <c r="B23" i="5"/>
  <c r="B24" i="5"/>
  <c r="B22" i="5"/>
  <c r="D22" i="5" s="1"/>
  <c r="B21" i="5"/>
  <c r="B20" i="5"/>
  <c r="D12" i="5"/>
  <c r="E12" i="5"/>
  <c r="C12" i="5"/>
  <c r="E11" i="5"/>
  <c r="D11" i="5"/>
  <c r="D13" i="5" s="1"/>
  <c r="C11" i="5"/>
  <c r="E10" i="5"/>
  <c r="D10" i="5"/>
  <c r="C10" i="5"/>
  <c r="E9" i="5"/>
  <c r="D9" i="5"/>
  <c r="C9" i="5"/>
  <c r="E8" i="5"/>
  <c r="D8" i="5"/>
  <c r="C8" i="5"/>
  <c r="E7" i="5"/>
  <c r="D7" i="5"/>
  <c r="C7" i="5"/>
  <c r="B12" i="5"/>
  <c r="B11" i="5"/>
  <c r="B10" i="5"/>
  <c r="B9" i="5"/>
  <c r="B8" i="5"/>
  <c r="B7" i="5"/>
  <c r="E6" i="5"/>
  <c r="D6" i="5"/>
  <c r="C6" i="5"/>
  <c r="B6" i="5"/>
  <c r="E5" i="5"/>
  <c r="D5" i="5"/>
  <c r="C5" i="5"/>
  <c r="B5" i="5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D24" i="5" l="1"/>
  <c r="D23" i="5"/>
  <c r="E13" i="5"/>
  <c r="E14" i="5" s="1"/>
  <c r="E15" i="5" s="1"/>
  <c r="D20" i="5"/>
  <c r="B13" i="5"/>
  <c r="B14" i="5" s="1"/>
  <c r="B15" i="5" s="1"/>
  <c r="C13" i="5"/>
  <c r="C14" i="5" s="1"/>
  <c r="C15" i="5" s="1"/>
  <c r="D21" i="5"/>
  <c r="D14" i="5"/>
  <c r="D15" i="5" s="1"/>
  <c r="C25" i="5"/>
  <c r="B25" i="5"/>
  <c r="D2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6DA60-643F-4549-8BD3-3E77B2D8C51D}" keepAlive="1" name="Query - Orders_Cleaned" description="Connection to the 'Orders_Cleaned' query in the workbook." type="5" refreshedVersion="8" background="1" saveData="1">
    <dbPr connection="Provider=Microsoft.Mashup.OleDb.1;Data Source=$Workbook$;Location=Orders_Cleaned;Extended Properties=&quot;&quot;" command="SELECT * FROM [Orders_Cleaned]"/>
  </connection>
</connections>
</file>

<file path=xl/sharedStrings.xml><?xml version="1.0" encoding="utf-8"?>
<sst xmlns="http://schemas.openxmlformats.org/spreadsheetml/2006/main" count="21349" uniqueCount="4310">
  <si>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</si>
  <si>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</si>
  <si>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</si>
  <si>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</si>
  <si>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</si>
  <si>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</si>
  <si>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</si>
  <si>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</si>
  <si>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</si>
  <si>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</si>
  <si>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</si>
  <si>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</si>
  <si>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</si>
  <si>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</si>
  <si>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</si>
  <si>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</si>
  <si>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</si>
  <si>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</si>
  <si>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</si>
  <si>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</si>
  <si>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</si>
  <si>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</si>
  <si>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</si>
  <si>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</si>
  <si>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</si>
  <si>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</si>
  <si>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</si>
  <si>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</si>
  <si>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</si>
  <si>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</si>
  <si>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</si>
  <si>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</si>
  <si>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</si>
  <si>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</si>
  <si>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</si>
  <si>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</si>
  <si>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</si>
  <si>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</si>
  <si>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</si>
  <si>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</si>
  <si>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</si>
  <si>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</si>
  <si>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</si>
  <si>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</si>
  <si>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</si>
  <si>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</si>
  <si>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</si>
  <si>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</si>
  <si>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</si>
  <si>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</si>
  <si>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</si>
  <si>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</si>
  <si>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</si>
  <si>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</si>
  <si>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</si>
  <si>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</si>
  <si>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</si>
  <si>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</si>
  <si>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</si>
  <si>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</si>
  <si>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</si>
  <si>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</si>
  <si>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</si>
  <si>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</si>
  <si>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</si>
  <si>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</si>
  <si>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</si>
  <si>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</si>
  <si>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</si>
  <si>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</si>
  <si>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</si>
  <si>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</si>
  <si>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</si>
  <si>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</si>
  <si>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</si>
  <si>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</si>
  <si>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</si>
  <si>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</si>
  <si>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</si>
  <si>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</si>
  <si>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</si>
  <si>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</si>
  <si>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</si>
  <si>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</si>
  <si>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</si>
  <si>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</si>
  <si>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</si>
  <si>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</si>
  <si>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</si>
  <si>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</si>
  <si>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</si>
  <si>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</si>
  <si>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</si>
  <si>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</si>
  <si>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</si>
  <si>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</si>
  <si>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</si>
  <si>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</si>
  <si>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</si>
  <si>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</si>
  <si>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</si>
  <si>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</si>
  <si>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</si>
  <si>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</si>
  <si>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</si>
  <si>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</si>
  <si>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</si>
  <si>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</si>
  <si>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</si>
  <si>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</si>
  <si>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</si>
  <si>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</si>
  <si>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</si>
  <si>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</si>
  <si>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</si>
  <si>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</si>
  <si>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</si>
  <si>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</si>
  <si>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</si>
  <si>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</si>
  <si>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</si>
  <si>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</si>
  <si>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</si>
  <si>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</si>
  <si>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</si>
  <si>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</si>
  <si>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</si>
  <si>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</si>
  <si>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</si>
  <si>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</si>
  <si>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</si>
  <si>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</si>
  <si>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</si>
  <si>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</si>
  <si>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</si>
  <si>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</si>
  <si>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</si>
  <si>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</si>
  <si>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</si>
  <si>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</si>
  <si>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</si>
  <si>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</si>
  <si>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</si>
  <si>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</si>
  <si>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</si>
  <si>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</si>
  <si>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</si>
  <si>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</si>
  <si>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</si>
  <si>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</si>
  <si>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</si>
  <si>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</si>
  <si>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</si>
  <si>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</si>
  <si>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</si>
  <si>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</si>
  <si>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</si>
  <si>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</si>
  <si>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</si>
  <si>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</si>
  <si>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</si>
  <si>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</si>
  <si>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</si>
  <si>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</si>
  <si>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</si>
  <si>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</si>
  <si>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</si>
  <si>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</si>
  <si>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</si>
  <si>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</si>
  <si>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</si>
  <si>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</si>
  <si>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</si>
  <si>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</si>
  <si>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</si>
  <si>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</si>
  <si>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</si>
  <si>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</si>
  <si>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</si>
  <si>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</si>
  <si>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</si>
  <si>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</si>
  <si>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</si>
  <si>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</si>
  <si>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</si>
  <si>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</si>
  <si>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</si>
  <si>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</si>
  <si>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</si>
  <si>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</si>
  <si>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</si>
  <si>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</si>
  <si>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</si>
  <si>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</si>
  <si>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</si>
  <si>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</si>
  <si>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</si>
  <si>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</si>
  <si>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</si>
  <si>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</si>
  <si>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</si>
  <si>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</si>
  <si>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</si>
  <si>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</si>
  <si>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</si>
  <si>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</si>
  <si>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</si>
  <si>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</si>
  <si>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</si>
  <si>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</si>
  <si>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</si>
  <si>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</si>
  <si>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</si>
  <si>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</si>
  <si>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</si>
  <si>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</si>
  <si>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</si>
  <si>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</si>
  <si>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</si>
  <si>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</si>
  <si>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</si>
  <si>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</si>
  <si>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</si>
  <si>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</si>
  <si>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</si>
  <si>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</si>
  <si>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</si>
  <si>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</si>
  <si>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</si>
  <si>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</si>
  <si>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</si>
  <si>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</si>
  <si>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</si>
  <si>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</si>
  <si>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</si>
  <si>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</si>
  <si>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</si>
  <si>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</si>
  <si>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</si>
  <si>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</si>
  <si>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</si>
  <si>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</si>
  <si>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</si>
  <si>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</si>
  <si>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</si>
  <si>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</si>
  <si>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</si>
  <si>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</si>
  <si>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</si>
  <si>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</si>
  <si>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</si>
  <si>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</si>
  <si>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</si>
  <si>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</si>
  <si>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</si>
  <si>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</si>
  <si>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</si>
  <si>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</si>
  <si>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</si>
  <si>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</si>
  <si>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</si>
  <si>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</si>
  <si>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</si>
  <si>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</si>
  <si>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</si>
  <si>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</si>
  <si>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</si>
  <si>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</si>
  <si>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</si>
  <si>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</si>
  <si>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</si>
  <si>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</si>
  <si>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</si>
  <si>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</si>
  <si>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</si>
  <si>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</si>
  <si>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</si>
  <si>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</si>
  <si>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</si>
  <si>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</si>
  <si>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</si>
  <si>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</si>
  <si>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</si>
  <si>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</si>
  <si>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</si>
  <si>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</si>
  <si>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</si>
  <si>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</si>
  <si>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</si>
  <si>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</si>
  <si>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</si>
  <si>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</si>
  <si>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</si>
  <si>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</si>
  <si>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</si>
  <si>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</si>
  <si>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</si>
  <si>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</si>
  <si>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</si>
  <si>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</si>
  <si>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</si>
  <si>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</si>
  <si>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</si>
  <si>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</si>
  <si>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</si>
  <si>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</si>
  <si>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</si>
  <si>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</si>
  <si>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</si>
  <si>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</si>
  <si>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</si>
  <si>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</si>
  <si>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</si>
  <si>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</si>
  <si>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</si>
  <si>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</si>
  <si>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</si>
  <si>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</si>
  <si>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</si>
  <si>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</si>
  <si>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</si>
  <si>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</si>
  <si>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</si>
  <si>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</si>
  <si>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</si>
  <si>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</si>
  <si>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</si>
  <si>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</si>
  <si>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</si>
  <si>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</si>
  <si>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</si>
  <si>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</si>
  <si>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</si>
  <si>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</si>
  <si>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</si>
  <si>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</si>
  <si>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</si>
  <si>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</si>
  <si>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</si>
  <si>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</si>
  <si>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</si>
  <si>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</si>
  <si>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</si>
  <si>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</si>
  <si>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</si>
  <si>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</si>
  <si>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</si>
  <si>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</si>
  <si>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</si>
  <si>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</si>
  <si>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</si>
  <si>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</si>
  <si>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</si>
  <si>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</si>
  <si>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</si>
  <si>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</si>
  <si>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</si>
  <si>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</si>
  <si>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</si>
  <si>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</si>
  <si>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</si>
  <si>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</si>
  <si>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</si>
  <si>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</si>
  <si>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</si>
  <si>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</si>
  <si>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</si>
  <si>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</si>
  <si>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</si>
  <si>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</si>
  <si>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</si>
  <si>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</si>
  <si>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</si>
  <si>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</si>
  <si>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</si>
  <si>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</si>
  <si>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</si>
  <si>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</si>
  <si>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</si>
  <si>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</si>
  <si>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</si>
  <si>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</si>
  <si>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</si>
  <si>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</si>
  <si>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</si>
  <si>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</si>
  <si>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</si>
  <si>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</si>
  <si>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</si>
  <si>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</si>
  <si>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</si>
  <si>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</si>
  <si>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</si>
  <si>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</si>
  <si>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</si>
  <si>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</si>
  <si>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</si>
  <si>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</si>
  <si>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</si>
  <si>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</si>
  <si>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</si>
  <si>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</si>
  <si>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</si>
  <si>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</si>
  <si>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</si>
  <si>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</si>
  <si>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</si>
  <si>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</si>
  <si>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</si>
  <si>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</si>
  <si>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</si>
  <si>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</si>
  <si>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</si>
  <si>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</si>
  <si>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</si>
  <si>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</si>
  <si>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</si>
  <si>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</si>
  <si>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</si>
  <si>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</si>
  <si>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</si>
  <si>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</si>
  <si>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</si>
  <si>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</si>
  <si>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</si>
  <si>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</si>
  <si>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</si>
  <si>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</si>
  <si>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</si>
  <si>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</si>
  <si>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</si>
  <si>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</si>
  <si>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</si>
  <si>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</si>
  <si>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</si>
  <si>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</si>
  <si>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</si>
  <si>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</si>
  <si>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</si>
  <si>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</si>
  <si>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</si>
  <si>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</si>
  <si>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</si>
  <si>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</si>
  <si>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</si>
  <si>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</si>
  <si>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</si>
  <si>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</si>
  <si>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</si>
  <si>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</si>
  <si>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</si>
  <si>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</si>
  <si>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</si>
  <si>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</si>
  <si>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</si>
  <si>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</si>
  <si>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</si>
  <si>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</si>
  <si>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</si>
  <si>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</si>
  <si>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</si>
  <si>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</si>
  <si>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</si>
  <si>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</si>
  <si>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</si>
  <si>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</si>
  <si>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</si>
  <si>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</si>
  <si>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</si>
  <si>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</si>
  <si>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</si>
  <si>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</si>
  <si>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</si>
  <si>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</si>
  <si>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</si>
  <si>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</si>
  <si>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</si>
  <si>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</si>
  <si>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</si>
  <si>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</si>
  <si>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</si>
  <si>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</si>
  <si>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</si>
  <si>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</si>
  <si>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</si>
  <si>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</si>
  <si>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</si>
  <si>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</si>
  <si>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</si>
  <si>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</si>
  <si>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</si>
  <si>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</si>
  <si>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</si>
  <si>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</si>
  <si>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</si>
  <si>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</si>
  <si>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</si>
  <si>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</si>
  <si>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</si>
  <si>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</si>
  <si>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</si>
  <si>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</si>
  <si>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</si>
  <si>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</si>
  <si>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</si>
  <si>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</si>
  <si>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</si>
  <si>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</si>
  <si>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</si>
  <si>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</si>
  <si>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</si>
  <si>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</si>
  <si>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</si>
  <si>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</si>
  <si>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</si>
  <si>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</si>
  <si>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</si>
  <si>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</si>
  <si>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</si>
  <si>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</si>
  <si>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</si>
  <si>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</si>
  <si>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</si>
  <si>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</si>
  <si>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</si>
  <si>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</si>
  <si>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</si>
  <si>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</si>
  <si>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</si>
  <si>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</si>
  <si>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</si>
  <si>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</si>
  <si>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</si>
  <si>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</si>
  <si>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</si>
  <si>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</si>
  <si>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</si>
  <si>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</si>
  <si>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</si>
  <si>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</si>
  <si>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</si>
  <si>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</si>
  <si>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</si>
  <si>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</si>
  <si>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</si>
  <si>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</si>
  <si>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</si>
  <si>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</si>
  <si>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</si>
  <si>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</si>
  <si>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</si>
  <si>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</si>
  <si>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</si>
  <si>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</si>
  <si>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</si>
  <si>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</si>
  <si>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</si>
  <si>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</si>
  <si>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</si>
  <si>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</si>
  <si>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</si>
  <si>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</si>
  <si>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</si>
  <si>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</si>
  <si>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</si>
  <si>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</si>
  <si>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</si>
  <si>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</si>
  <si>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</si>
  <si>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</si>
  <si>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</si>
  <si>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</si>
  <si>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</si>
  <si>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</si>
  <si>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</si>
  <si>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</si>
  <si>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</si>
  <si>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</si>
  <si>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</si>
  <si>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</si>
  <si>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</si>
  <si>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</si>
  <si>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</si>
  <si>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</si>
  <si>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</si>
  <si>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</si>
  <si>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</si>
  <si>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</si>
  <si>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</si>
  <si>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</si>
  <si>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</si>
  <si>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</si>
  <si>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</si>
  <si>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</si>
  <si>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</si>
  <si>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</si>
  <si>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</si>
  <si>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</si>
  <si>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</si>
  <si>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</si>
  <si>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</si>
  <si>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</si>
  <si>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</si>
  <si>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</si>
  <si>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</si>
  <si>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</si>
  <si>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</si>
  <si>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</si>
  <si>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</si>
  <si>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</si>
  <si>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</si>
  <si>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</si>
  <si>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</si>
  <si>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</si>
  <si>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</si>
  <si>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</si>
  <si>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</si>
  <si>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</si>
  <si>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</si>
  <si>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</si>
  <si>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</si>
  <si>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</si>
  <si>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</si>
  <si>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</si>
  <si>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</si>
  <si>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</si>
  <si>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</si>
  <si>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</si>
  <si>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</si>
  <si>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</si>
  <si>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</si>
  <si>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</si>
  <si>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</si>
  <si>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</si>
  <si>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</si>
  <si>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</si>
  <si>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</si>
  <si>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</si>
  <si>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</si>
  <si>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</si>
  <si>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</si>
  <si>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</si>
  <si>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</si>
  <si>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</si>
  <si>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</si>
  <si>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</si>
  <si>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</si>
  <si>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</si>
  <si>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</si>
  <si>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</si>
  <si>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</si>
  <si>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</si>
  <si>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</si>
  <si>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</si>
  <si>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</si>
  <si>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</si>
  <si>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</si>
  <si>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</si>
  <si>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</si>
  <si>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</si>
  <si>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</si>
  <si>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</si>
  <si>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</si>
  <si>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</si>
  <si>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</si>
  <si>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</si>
  <si>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</si>
  <si>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</si>
  <si>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</si>
  <si>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</si>
  <si>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</si>
  <si>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</si>
  <si>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</si>
  <si>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</si>
  <si>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</si>
  <si>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</si>
  <si>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</si>
  <si>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</si>
  <si>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</si>
  <si>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</si>
  <si>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</si>
  <si>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</si>
  <si>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</si>
  <si>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</si>
  <si>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</si>
  <si>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</si>
  <si>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</si>
  <si>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</si>
  <si>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</si>
  <si>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</si>
  <si>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</si>
  <si>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</si>
  <si>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</si>
  <si>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</si>
  <si>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</si>
  <si>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</si>
  <si>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</si>
  <si>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</si>
  <si>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</si>
  <si>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</si>
  <si>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</si>
  <si>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</si>
  <si>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</si>
  <si>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</si>
  <si>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</si>
  <si>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</si>
  <si>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</si>
  <si>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</si>
  <si>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</si>
  <si>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</si>
  <si>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</si>
  <si>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</si>
  <si>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</si>
  <si>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</si>
  <si>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</si>
  <si>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</si>
  <si>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</si>
  <si>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</si>
  <si>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</si>
  <si>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</si>
  <si>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</si>
  <si>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</si>
  <si>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</si>
  <si>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</si>
  <si>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</si>
  <si>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</si>
  <si>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</si>
  <si>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</si>
  <si>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</si>
  <si>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</si>
  <si>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</si>
  <si>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</si>
  <si>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</si>
  <si>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</si>
  <si>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</si>
  <si>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</si>
  <si>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</si>
  <si>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</si>
  <si>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</si>
  <si>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</si>
  <si>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</si>
  <si>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</si>
  <si>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</si>
  <si>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</si>
  <si>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</si>
  <si>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</si>
  <si>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</si>
  <si>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</si>
  <si>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</si>
  <si>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</si>
  <si>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</si>
  <si>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</si>
  <si>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</si>
  <si>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</si>
  <si>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</si>
  <si>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</si>
  <si>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</si>
  <si>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</si>
  <si>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</si>
  <si>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</si>
  <si>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</si>
  <si>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</si>
  <si>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</si>
  <si>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</si>
  <si>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</si>
  <si>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</si>
  <si>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</si>
  <si>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</si>
  <si>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</si>
  <si>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</si>
  <si>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</si>
  <si>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</si>
  <si>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</si>
  <si>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</si>
  <si>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</si>
  <si>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</si>
  <si>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</si>
  <si>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</si>
  <si>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</si>
  <si>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</si>
  <si>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</si>
  <si>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</si>
  <si>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</si>
  <si>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</si>
  <si>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</si>
  <si>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</si>
  <si>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</si>
  <si>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</si>
  <si>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</si>
  <si>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</si>
  <si>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</si>
  <si>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</si>
  <si>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</si>
  <si>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</si>
  <si>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</si>
  <si>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</si>
  <si>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</si>
  <si>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</si>
  <si>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</si>
  <si>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</si>
  <si>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</si>
  <si>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</si>
  <si>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</si>
  <si>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</si>
  <si>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</si>
  <si>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</si>
  <si>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</si>
  <si>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</si>
  <si>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</si>
  <si>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</si>
  <si>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</si>
  <si>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</si>
  <si>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</si>
  <si>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</si>
  <si>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</si>
  <si>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</si>
  <si>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</si>
  <si>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</si>
  <si>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</si>
  <si>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</si>
  <si>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</si>
  <si>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</si>
  <si>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</si>
  <si>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</si>
  <si>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</si>
  <si>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</si>
  <si>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</si>
  <si>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</si>
  <si>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</si>
  <si>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</si>
  <si>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</si>
  <si>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</si>
  <si>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</si>
  <si>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</si>
  <si>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</si>
  <si>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</si>
  <si>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</si>
  <si>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</si>
  <si>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</si>
  <si>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</si>
  <si>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</si>
  <si>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</si>
  <si>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</si>
  <si>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</si>
  <si>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</si>
  <si>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</si>
  <si>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</si>
  <si>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</si>
  <si>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</si>
  <si>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</si>
  <si>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</si>
  <si>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</si>
  <si>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</si>
  <si>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</si>
  <si>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</si>
  <si>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</si>
  <si>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</si>
  <si>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</si>
  <si>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</si>
  <si>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</si>
  <si>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</si>
  <si>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</si>
  <si>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</si>
  <si>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</si>
  <si>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</si>
  <si>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</si>
  <si>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</si>
  <si>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</si>
  <si>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</si>
  <si>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</si>
  <si>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</si>
  <si>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</si>
  <si>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</si>
  <si>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</si>
  <si>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</si>
  <si>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</si>
  <si>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</si>
  <si>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</si>
  <si>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</si>
  <si>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</si>
  <si>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</si>
  <si>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</si>
  <si>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</si>
  <si>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</si>
  <si>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</si>
  <si>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</si>
  <si>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</si>
  <si>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</si>
  <si>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</si>
  <si>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</si>
  <si>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</si>
  <si>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</si>
  <si>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</si>
  <si>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</si>
  <si>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</si>
  <si>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</si>
  <si>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</si>
  <si>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</si>
  <si>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</si>
  <si>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</si>
  <si>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</si>
  <si>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</si>
  <si>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</si>
  <si>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</si>
  <si>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</si>
  <si>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</si>
  <si>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</si>
  <si>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</si>
  <si>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</si>
  <si>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</si>
  <si>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</si>
  <si>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</si>
  <si>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</si>
  <si>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</si>
  <si>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</si>
  <si>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</si>
  <si>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</si>
  <si>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</si>
  <si>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</si>
  <si>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</si>
  <si>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</si>
  <si>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</si>
  <si>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</si>
  <si>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</si>
  <si>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</si>
  <si>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</si>
  <si>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</si>
  <si>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</si>
  <si>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</si>
  <si>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</si>
  <si>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</si>
  <si>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</si>
  <si>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</si>
  <si>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</si>
  <si>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</si>
  <si>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</si>
  <si>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</si>
  <si>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</si>
  <si>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</si>
  <si>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</si>
  <si>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</si>
  <si>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</si>
  <si>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</si>
  <si>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</si>
  <si>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</si>
  <si>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</si>
  <si>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</si>
  <si>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</si>
  <si>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</si>
  <si>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</si>
  <si>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</si>
  <si>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</si>
  <si>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</si>
  <si>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</si>
  <si>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</si>
  <si>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</si>
  <si>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</si>
  <si>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</si>
  <si>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</si>
  <si>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</si>
  <si>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</si>
  <si>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</si>
  <si>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</si>
  <si>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</si>
  <si>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</si>
  <si>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</si>
  <si>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</si>
  <si>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</si>
  <si>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</si>
  <si>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</si>
  <si>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</si>
  <si>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</si>
  <si>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</si>
  <si>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</si>
  <si>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</si>
  <si>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</si>
  <si>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</si>
  <si>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</si>
  <si>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</si>
  <si>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</si>
  <si>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</si>
  <si>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</si>
  <si>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</si>
  <si>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</si>
  <si>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</si>
  <si>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</si>
  <si>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</si>
  <si>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</si>
  <si>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</si>
  <si>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</si>
  <si>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</si>
  <si>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</si>
  <si>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</si>
  <si>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</si>
  <si>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</si>
  <si>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</si>
  <si>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</si>
  <si>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</si>
  <si>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</si>
  <si>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</si>
  <si>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</si>
  <si>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</si>
  <si>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</si>
  <si>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</si>
  <si>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</si>
  <si>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</si>
  <si>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</si>
  <si>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</si>
  <si>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</si>
  <si>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</si>
  <si>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</si>
  <si>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</si>
  <si>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</si>
  <si>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</si>
  <si>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</si>
  <si>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</si>
  <si>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</si>
  <si>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</si>
  <si>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</si>
  <si>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</si>
  <si>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</si>
  <si>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</si>
  <si>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</si>
  <si>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</si>
  <si>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</si>
  <si>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</si>
  <si>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</si>
  <si>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</si>
  <si>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</si>
  <si>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</si>
  <si>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</si>
  <si>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</si>
  <si>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</si>
  <si>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</si>
  <si>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</si>
  <si>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</si>
  <si>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</si>
  <si>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</si>
  <si>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</si>
  <si>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</si>
  <si>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</si>
  <si>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</si>
  <si>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</si>
  <si>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</si>
  <si>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</si>
  <si>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</si>
  <si>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</si>
  <si>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</si>
  <si>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</si>
  <si>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</si>
  <si>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</si>
  <si>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</si>
  <si>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</si>
  <si>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</si>
  <si>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</si>
  <si>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</si>
  <si>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</si>
  <si>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</si>
  <si>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</si>
  <si>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</si>
  <si>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</si>
  <si>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</si>
  <si>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</si>
  <si>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</si>
  <si>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</si>
  <si>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</si>
  <si>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</si>
  <si>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</si>
  <si>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</si>
  <si>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</si>
  <si>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</si>
  <si>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</si>
  <si>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</si>
  <si>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</si>
  <si>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</si>
  <si>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</si>
  <si>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</si>
  <si>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</si>
  <si>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</si>
  <si>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</si>
  <si>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</si>
  <si>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</si>
  <si>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</si>
  <si>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</si>
  <si>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</si>
  <si>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</si>
  <si>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</si>
  <si>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</si>
  <si>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</si>
  <si>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</si>
  <si>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</si>
  <si>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</si>
  <si>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</si>
  <si>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</si>
  <si>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</si>
  <si>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</si>
  <si>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</si>
  <si>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</si>
  <si>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</si>
  <si>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</si>
  <si>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</si>
  <si>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</si>
  <si>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</si>
  <si>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</si>
  <si>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</si>
  <si>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</si>
  <si>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</si>
  <si>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</si>
  <si>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</si>
  <si>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</si>
  <si>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</si>
  <si>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</si>
  <si>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</si>
  <si>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</si>
  <si>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</si>
  <si>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</si>
  <si>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</si>
  <si>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</si>
  <si>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</si>
  <si>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</si>
  <si>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</si>
  <si>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</si>
  <si>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</si>
  <si>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</si>
  <si>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</si>
  <si>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</si>
  <si>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</si>
  <si>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</si>
  <si>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</si>
  <si>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</si>
  <si>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</si>
  <si>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</si>
  <si>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</si>
  <si>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</si>
  <si>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</si>
  <si>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</si>
  <si>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</si>
  <si>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</si>
  <si>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</si>
  <si>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</si>
  <si>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</si>
  <si>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</si>
  <si>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</si>
  <si>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</si>
  <si>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</si>
  <si>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</si>
  <si>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</si>
  <si>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</si>
  <si>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</si>
  <si>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</si>
  <si>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</si>
  <si>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</si>
  <si>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</si>
  <si>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</si>
  <si>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</si>
  <si>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</si>
  <si>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</si>
  <si>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</si>
  <si>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</si>
  <si>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</si>
  <si>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</si>
  <si>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</si>
  <si>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</si>
  <si>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</si>
  <si>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</si>
  <si>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</si>
  <si>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</si>
  <si>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</si>
  <si>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</si>
  <si>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</si>
  <si>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</si>
  <si>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</si>
  <si>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</si>
  <si>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</si>
  <si>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</si>
  <si>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</si>
  <si>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</si>
  <si>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</si>
  <si>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</si>
  <si>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</si>
  <si>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</si>
  <si>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</si>
  <si>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</si>
  <si>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</si>
  <si>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</si>
  <si>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</si>
  <si>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</si>
  <si>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</si>
  <si>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</si>
  <si>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</si>
  <si>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</si>
  <si>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</si>
  <si>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</si>
  <si>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</si>
  <si>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</si>
  <si>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</si>
  <si>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</si>
  <si>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</si>
  <si>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</si>
  <si>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</si>
  <si>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</si>
  <si>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</si>
  <si>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</si>
  <si>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</si>
  <si>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</si>
  <si>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</si>
  <si>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</si>
  <si>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</si>
  <si>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</si>
  <si>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</si>
  <si>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</si>
  <si>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</si>
  <si>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</si>
  <si>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</si>
  <si>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</si>
  <si>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</si>
  <si>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</si>
  <si>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</si>
  <si>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</si>
  <si>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</si>
  <si>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</si>
  <si>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</si>
  <si>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</si>
  <si>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</si>
  <si>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</si>
  <si>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</si>
  <si>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</si>
  <si>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</si>
  <si>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</si>
  <si>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</si>
  <si>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</si>
  <si>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</si>
  <si>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</si>
  <si>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</si>
  <si>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</si>
  <si>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</si>
  <si>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</si>
  <si>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</si>
  <si>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</si>
  <si>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</si>
  <si>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</si>
  <si>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</si>
  <si>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</si>
  <si>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</si>
  <si>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</si>
  <si>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</si>
  <si>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</si>
  <si>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</si>
  <si>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</si>
  <si>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</si>
  <si>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</si>
  <si>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</si>
  <si>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</si>
  <si>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</si>
  <si>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</si>
  <si>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</si>
  <si>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</si>
  <si>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</si>
  <si>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</si>
  <si>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</si>
  <si>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</si>
  <si>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</si>
  <si>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</si>
  <si>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</si>
  <si>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</si>
  <si>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</si>
  <si>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</si>
  <si>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</si>
  <si>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</si>
  <si>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</si>
  <si>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</si>
  <si>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</si>
  <si>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</si>
  <si>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</si>
  <si>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</si>
  <si>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</si>
  <si>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</si>
  <si>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</si>
  <si>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</si>
  <si>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</si>
  <si>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</si>
  <si>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</si>
  <si>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</si>
  <si>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</si>
  <si>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</si>
  <si>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</si>
  <si>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</si>
  <si>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</si>
  <si>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</si>
  <si>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</si>
  <si>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</si>
  <si>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</si>
  <si>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</si>
  <si>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</si>
  <si>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</si>
  <si>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</si>
  <si>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</si>
  <si>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</si>
  <si>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</si>
  <si>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</si>
  <si>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</si>
  <si>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</si>
  <si>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</si>
  <si>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</si>
  <si>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</si>
  <si>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</si>
  <si>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</si>
  <si>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</si>
  <si>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</si>
  <si>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</si>
  <si>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</si>
  <si>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</si>
  <si>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</si>
  <si>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</si>
  <si>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</si>
  <si>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</si>
  <si>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</si>
  <si>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</si>
  <si>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</si>
  <si>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</si>
  <si>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</si>
  <si>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</si>
  <si>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</si>
  <si>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</si>
  <si>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</si>
  <si>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</si>
  <si>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</si>
  <si>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</si>
  <si>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</si>
  <si>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</si>
  <si>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</si>
  <si>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</si>
  <si>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</si>
  <si>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</si>
  <si>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</si>
  <si>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</si>
  <si>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</si>
  <si>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</si>
  <si>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</si>
  <si>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</si>
  <si>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</si>
  <si>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</si>
  <si>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</si>
  <si>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</si>
  <si>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</si>
  <si>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</si>
  <si>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</si>
  <si>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</si>
  <si>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</si>
  <si>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</si>
  <si>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</si>
  <si>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</si>
  <si>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</si>
  <si>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</si>
  <si>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</si>
  <si>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</si>
  <si>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</si>
  <si>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</si>
  <si>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</si>
  <si>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</si>
  <si>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</si>
  <si>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</si>
  <si>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</si>
  <si>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</si>
  <si>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</si>
  <si>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</si>
  <si>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</si>
  <si>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</si>
  <si>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</si>
  <si>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</si>
  <si>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</si>
  <si>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</si>
  <si>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</si>
  <si>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</si>
  <si>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</si>
  <si>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</si>
  <si>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</si>
  <si>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</si>
  <si>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</si>
  <si>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</si>
  <si>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</si>
  <si>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</si>
  <si>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</si>
  <si>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</si>
  <si>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</si>
  <si>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</si>
  <si>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</si>
  <si>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</si>
  <si>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</si>
  <si>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</si>
  <si>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</si>
  <si>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</si>
  <si>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</si>
  <si>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</si>
  <si>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</si>
  <si>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</si>
  <si>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</si>
  <si>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</si>
  <si>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</si>
  <si>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</si>
  <si>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</si>
  <si>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</si>
  <si>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</si>
  <si>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</si>
  <si>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</si>
  <si>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</si>
  <si>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</si>
  <si>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</si>
  <si>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</si>
  <si>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</si>
  <si>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</si>
  <si>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</si>
  <si>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</si>
  <si>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</si>
  <si>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</si>
  <si>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</si>
  <si>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</si>
  <si>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</si>
  <si>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</si>
  <si>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</si>
  <si>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</si>
  <si>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</si>
  <si>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</si>
  <si>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</si>
  <si>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</si>
  <si>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</si>
  <si>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</si>
  <si>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</si>
  <si>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</si>
  <si>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</si>
  <si>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</si>
  <si>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</si>
  <si>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</si>
  <si>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</si>
  <si>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</si>
  <si>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</si>
  <si>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</si>
  <si>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</si>
  <si>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</si>
  <si>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</si>
  <si>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</si>
  <si>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</si>
  <si>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</si>
  <si>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</si>
  <si>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</si>
  <si>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</si>
  <si>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</si>
  <si>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</si>
  <si>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</si>
  <si>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</si>
  <si>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</si>
  <si>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</si>
  <si>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</si>
  <si>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</si>
  <si>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</si>
  <si>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</si>
  <si>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</si>
  <si>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</si>
  <si>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</si>
  <si>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</si>
  <si>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</si>
  <si>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</si>
  <si>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</si>
  <si>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</si>
  <si>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</si>
  <si>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</si>
  <si>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</si>
  <si>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</si>
  <si>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</si>
  <si>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</si>
  <si>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</si>
  <si>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</si>
  <si>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</si>
  <si>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</si>
  <si>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</si>
  <si>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</si>
  <si>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</si>
  <si>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</si>
  <si>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</si>
  <si>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</si>
  <si>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</si>
  <si>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</si>
  <si>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</si>
  <si>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</si>
  <si>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</si>
  <si>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</si>
  <si>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</si>
  <si>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</si>
  <si>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</si>
  <si>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</si>
  <si>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</si>
  <si>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</si>
  <si>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</si>
  <si>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</si>
  <si>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</si>
  <si>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</si>
  <si>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</si>
  <si>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</si>
  <si>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</si>
  <si>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</si>
  <si>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</si>
  <si>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</si>
  <si>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</si>
  <si>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</si>
  <si>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</si>
  <si>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</si>
  <si>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</si>
  <si>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</si>
  <si>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</si>
  <si>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</si>
  <si>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</si>
  <si>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</si>
  <si>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</si>
  <si>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</si>
  <si>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</si>
  <si>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</si>
  <si>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</si>
  <si>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</si>
  <si>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</si>
  <si>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</si>
  <si>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</si>
  <si>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</si>
  <si>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</si>
  <si>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</si>
  <si>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</si>
  <si>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</si>
  <si>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</si>
  <si>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</si>
  <si>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</si>
  <si>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</si>
  <si>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</si>
  <si>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</si>
  <si>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</si>
  <si>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</si>
  <si>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</si>
  <si>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</si>
  <si>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</si>
  <si>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</si>
  <si>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</si>
  <si>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</si>
  <si>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</si>
  <si>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</si>
  <si>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</si>
  <si>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</si>
  <si>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</si>
  <si>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</si>
  <si>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</si>
  <si>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</si>
  <si>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</si>
  <si>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</si>
  <si>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</si>
  <si>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</si>
  <si>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</si>
  <si>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</si>
  <si>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</si>
  <si>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</si>
  <si>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</si>
  <si>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</si>
  <si>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</si>
  <si>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</si>
  <si>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</si>
  <si>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</si>
  <si>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</si>
  <si>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</si>
  <si>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</si>
  <si>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</si>
  <si>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</si>
  <si>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</si>
  <si>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</si>
  <si>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</si>
  <si>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</si>
  <si>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</si>
  <si>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</si>
  <si>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</si>
  <si>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</si>
  <si>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</si>
  <si>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</si>
  <si>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</si>
  <si>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</si>
  <si>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</si>
  <si>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</si>
  <si>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</si>
  <si>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</si>
  <si>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</si>
  <si>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</si>
  <si>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</si>
  <si>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</si>
  <si>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</si>
  <si>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</si>
  <si>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</si>
  <si>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</si>
  <si>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</si>
  <si>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</si>
  <si>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</si>
  <si>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</si>
  <si>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</si>
  <si>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</si>
  <si>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</si>
  <si>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</si>
  <si>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</si>
  <si>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</si>
  <si>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</si>
  <si>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</si>
  <si>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</si>
  <si>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</si>
  <si>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</si>
  <si>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</si>
  <si>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</si>
  <si>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</si>
  <si>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</si>
  <si>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</si>
  <si>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</si>
  <si>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</si>
  <si>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</si>
  <si>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</si>
  <si>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</si>
  <si>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</si>
  <si>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</si>
  <si>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</si>
  <si>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</si>
  <si>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</si>
  <si>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</si>
  <si>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</si>
  <si>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</si>
  <si>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</si>
  <si>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</si>
  <si>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</si>
  <si>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</si>
  <si>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</si>
  <si>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</si>
  <si>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</si>
  <si>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</si>
  <si>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</si>
  <si>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</si>
  <si>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</si>
  <si>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</si>
  <si>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</si>
  <si>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</si>
  <si>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</si>
  <si>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</si>
  <si>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</si>
  <si>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</si>
  <si>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</si>
  <si>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</si>
  <si>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</si>
  <si>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</si>
  <si>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</si>
  <si>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</si>
  <si>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</si>
  <si>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</si>
  <si>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</si>
  <si>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</si>
  <si>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</si>
  <si>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</si>
  <si>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</si>
  <si>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</si>
  <si>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</si>
  <si>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</si>
  <si>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</si>
  <si>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</si>
  <si>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</si>
  <si>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</si>
  <si>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</si>
  <si>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</si>
  <si>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</si>
  <si>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</si>
  <si>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</si>
  <si>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</si>
  <si>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</si>
  <si>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</si>
  <si>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</si>
  <si>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</si>
  <si>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</si>
  <si>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</si>
  <si>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</si>
  <si>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</si>
  <si>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</si>
  <si>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</si>
  <si>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</si>
  <si>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</si>
  <si>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</si>
  <si>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</si>
  <si>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</si>
  <si>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</si>
  <si>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</si>
  <si>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</si>
  <si>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</si>
  <si>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</si>
  <si>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</si>
  <si>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</si>
  <si>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</si>
  <si>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</si>
  <si>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</si>
  <si>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</si>
  <si>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</si>
  <si>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</si>
  <si>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</si>
  <si>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</si>
  <si>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</si>
  <si>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</si>
  <si>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</si>
  <si>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</si>
  <si>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</si>
  <si>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</si>
  <si>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</si>
  <si>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</si>
  <si>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</si>
  <si>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</si>
  <si>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</si>
  <si>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</si>
  <si>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</si>
  <si>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</si>
  <si>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</si>
  <si>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</si>
  <si>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</si>
  <si>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</si>
  <si>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</si>
  <si>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</si>
  <si>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</si>
  <si>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</si>
  <si>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</si>
  <si>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</si>
  <si>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</si>
  <si>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</si>
  <si>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</si>
  <si>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</si>
  <si>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</si>
  <si>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</si>
  <si>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</si>
  <si>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</si>
  <si>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</si>
  <si>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</si>
  <si>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</si>
  <si>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</si>
  <si>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</si>
  <si>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</si>
  <si>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</si>
  <si>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</si>
  <si>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</si>
  <si>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</si>
  <si>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</si>
  <si>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</si>
  <si>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</si>
  <si>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</si>
  <si>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</si>
  <si>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</si>
  <si>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</si>
  <si>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</si>
  <si>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</si>
  <si>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</si>
  <si>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</si>
  <si>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</si>
  <si>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</si>
  <si>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</si>
  <si>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</si>
  <si>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</si>
  <si>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</si>
  <si>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</si>
  <si>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</si>
  <si>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</si>
  <si>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</si>
  <si>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</si>
  <si>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</si>
  <si>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</si>
  <si>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</si>
  <si>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</si>
  <si>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</si>
  <si>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</si>
  <si>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</si>
  <si>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</si>
  <si>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</si>
  <si>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</si>
  <si>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</si>
  <si>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</si>
  <si>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</si>
  <si>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</si>
  <si>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</si>
  <si>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</si>
  <si>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</si>
  <si>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</si>
  <si>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</si>
  <si>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</si>
  <si>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</si>
  <si>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</si>
  <si>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</si>
  <si>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</si>
  <si>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</si>
  <si>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</si>
  <si>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</si>
  <si>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</si>
  <si>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</si>
  <si>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</si>
  <si>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</si>
  <si>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</si>
  <si>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</si>
  <si>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</si>
  <si>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</si>
  <si>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</si>
  <si>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</si>
  <si>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</si>
  <si>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</si>
  <si>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</si>
  <si>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</si>
  <si>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</si>
  <si>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</si>
  <si>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</si>
  <si>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</si>
  <si>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</si>
  <si>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</si>
  <si>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</si>
  <si>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</si>
  <si>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</si>
  <si>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</si>
  <si>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</si>
  <si>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</si>
  <si>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</si>
  <si>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</si>
  <si>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</si>
  <si>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</si>
  <si>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</si>
  <si>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</si>
  <si>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</si>
  <si>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</si>
  <si>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</si>
  <si>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</si>
  <si>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</si>
  <si>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</si>
  <si>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</si>
  <si>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</si>
  <si>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</si>
  <si>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</si>
  <si>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</si>
  <si>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</si>
  <si>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</si>
  <si>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</si>
  <si>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</si>
  <si>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</si>
  <si>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</si>
  <si>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</si>
  <si>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</si>
  <si>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</si>
  <si>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</si>
  <si>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</si>
  <si>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</si>
  <si>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</si>
  <si>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</si>
  <si>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</si>
  <si>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</si>
  <si>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</si>
  <si>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</si>
  <si>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</si>
  <si>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</si>
  <si>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</si>
  <si>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</si>
  <si>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</si>
  <si>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</si>
  <si>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</si>
  <si>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</si>
  <si>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</si>
  <si>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</si>
  <si>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</si>
  <si>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</si>
  <si>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</si>
  <si>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</si>
  <si>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</si>
  <si>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</si>
  <si>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</si>
  <si>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</si>
  <si>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</si>
  <si>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</si>
  <si>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</si>
  <si>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</si>
  <si>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</si>
  <si>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</si>
  <si>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</si>
  <si>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</si>
  <si>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</si>
  <si>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</si>
  <si>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</si>
  <si>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</si>
  <si>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</si>
  <si>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</si>
  <si>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</si>
  <si>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</si>
  <si>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</si>
  <si>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</si>
  <si>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</si>
  <si>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</si>
  <si>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</si>
  <si>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</si>
  <si>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</si>
  <si>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</si>
  <si>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</si>
  <si>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</si>
  <si>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</si>
  <si>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</si>
  <si>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</si>
  <si>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</si>
  <si>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</si>
  <si>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</si>
  <si>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</si>
  <si>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</si>
  <si>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</si>
  <si>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</si>
  <si>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</si>
  <si>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</si>
  <si>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</si>
  <si>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</si>
  <si>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</si>
  <si>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</si>
  <si>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</si>
  <si>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</si>
  <si>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</si>
  <si>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</si>
  <si>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</si>
  <si>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</si>
  <si>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</si>
  <si>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</si>
  <si>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</si>
  <si>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</si>
  <si>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</si>
  <si>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</si>
  <si>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</si>
  <si>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</si>
  <si>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</si>
  <si>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</si>
  <si>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</si>
  <si>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</si>
  <si>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</si>
  <si>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</si>
  <si>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</si>
  <si>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</si>
  <si>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</si>
  <si>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</si>
  <si>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</si>
  <si>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</si>
  <si>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</si>
  <si>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</si>
  <si>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</si>
  <si>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</si>
  <si>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</si>
  <si>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</si>
  <si>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</si>
  <si>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</si>
  <si>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</si>
  <si>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</si>
  <si>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</si>
  <si>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</si>
  <si>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</si>
  <si>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</si>
  <si>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</si>
  <si>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</si>
  <si>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</si>
  <si>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</si>
  <si>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</si>
  <si>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</si>
  <si>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</si>
  <si>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</si>
  <si>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</si>
  <si>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</si>
  <si>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</si>
  <si>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</si>
  <si>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</si>
  <si>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</si>
  <si>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</si>
  <si>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</si>
  <si>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</si>
  <si>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</si>
  <si>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</si>
  <si>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</si>
  <si>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</si>
  <si>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</si>
  <si>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</si>
  <si>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</si>
  <si>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</si>
  <si>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</si>
  <si>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</si>
  <si>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</si>
  <si>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</si>
  <si>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</si>
  <si>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</si>
  <si>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</si>
  <si>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</si>
  <si>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</si>
  <si>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</si>
  <si>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</si>
  <si>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</si>
  <si>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</si>
  <si>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</si>
  <si>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</si>
  <si>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</si>
  <si>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</si>
  <si>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</si>
  <si>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</si>
  <si>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</si>
  <si>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</si>
  <si>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</si>
  <si>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</si>
  <si>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</si>
  <si>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</si>
  <si>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</si>
  <si>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</si>
  <si>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</si>
  <si>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</si>
  <si>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</si>
  <si>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</si>
  <si>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</si>
  <si>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</si>
  <si>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</si>
  <si>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</si>
  <si>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</si>
  <si>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</si>
  <si>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</si>
  <si>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</si>
  <si>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</si>
  <si>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</si>
  <si>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</si>
  <si>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</si>
  <si>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</si>
  <si>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</si>
  <si>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</si>
  <si>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</si>
  <si>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</si>
  <si>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</si>
  <si>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</si>
  <si>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</si>
  <si>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</si>
  <si>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</si>
  <si>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</si>
  <si>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</si>
  <si>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</si>
  <si>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</si>
  <si>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</si>
  <si>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</si>
  <si>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</si>
  <si>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</si>
  <si>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</si>
  <si>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</si>
  <si>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</si>
  <si>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</si>
  <si>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</si>
  <si>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</si>
  <si>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</si>
  <si>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</si>
  <si>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</si>
  <si>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</si>
  <si>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</si>
  <si>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</si>
  <si>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</si>
  <si>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</si>
  <si>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</si>
  <si>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</si>
  <si>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</si>
  <si>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</si>
  <si>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</si>
  <si>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</si>
  <si>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</si>
  <si>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</si>
  <si>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</si>
  <si>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</si>
  <si>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</si>
  <si>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</si>
  <si>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</si>
  <si>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</si>
  <si>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</si>
  <si>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</si>
  <si>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</si>
  <si>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</si>
  <si>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</si>
  <si>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</si>
  <si>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</si>
  <si>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</si>
  <si>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</si>
  <si>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</si>
  <si>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</si>
  <si>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</si>
  <si>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</si>
  <si>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</si>
  <si>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</si>
  <si>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</si>
  <si>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</si>
  <si>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</si>
  <si>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</si>
  <si>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</si>
  <si>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</si>
  <si>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</si>
  <si>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</si>
  <si>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</si>
  <si>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</si>
  <si>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</si>
  <si>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</si>
  <si>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</si>
  <si>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</si>
  <si>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</si>
  <si>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</si>
  <si>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</si>
  <si>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</si>
  <si>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</si>
  <si>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</si>
  <si>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</si>
  <si>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</si>
  <si>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</si>
  <si>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</si>
  <si>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</si>
  <si>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</si>
  <si>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</si>
  <si>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</si>
  <si>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</si>
  <si>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</si>
  <si>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</si>
  <si>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</si>
  <si>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</si>
  <si>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</si>
  <si>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</si>
  <si>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</si>
  <si>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</si>
  <si>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</si>
  <si>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</si>
  <si>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</si>
  <si>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</si>
  <si>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</si>
  <si>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</si>
  <si>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</si>
  <si>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</si>
  <si>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</si>
  <si>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</si>
  <si>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</si>
  <si>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</si>
  <si>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</si>
  <si>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</si>
  <si>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</si>
  <si>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</si>
  <si>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</si>
  <si>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</si>
  <si>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</si>
  <si>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</si>
  <si>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</si>
  <si>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</si>
  <si>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</si>
  <si>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</si>
  <si>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</si>
  <si>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</si>
  <si>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</si>
  <si>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</si>
  <si>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</si>
  <si>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</si>
  <si>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</si>
  <si>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</si>
  <si>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</si>
  <si>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</si>
  <si>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</si>
  <si>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</si>
  <si>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</si>
  <si>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</si>
  <si>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</si>
  <si>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</si>
  <si>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</si>
  <si>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</si>
  <si>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</si>
  <si>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</si>
  <si>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</si>
  <si>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</si>
  <si>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</si>
  <si>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</si>
  <si>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</si>
  <si>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</si>
  <si>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</si>
  <si>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</si>
  <si>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</si>
  <si>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</si>
  <si>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</si>
  <si>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</si>
  <si>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</si>
  <si>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</si>
  <si>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</si>
  <si>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</si>
  <si>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</si>
  <si>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</si>
  <si>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</si>
  <si>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</si>
  <si>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</si>
  <si>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</si>
  <si>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</si>
  <si>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</si>
  <si>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</si>
  <si>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</si>
  <si>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</si>
  <si>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</si>
  <si>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</si>
  <si>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</si>
  <si>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</si>
  <si>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</si>
  <si>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</si>
  <si>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</si>
  <si>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</si>
  <si>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</si>
  <si>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</si>
  <si>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</si>
  <si>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</si>
  <si>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</si>
  <si>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</si>
  <si>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</si>
  <si>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</si>
  <si>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</si>
  <si>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</si>
  <si>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</si>
  <si>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</si>
  <si>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</si>
  <si>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</si>
  <si>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</si>
  <si>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</si>
  <si>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</si>
  <si>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</si>
  <si>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</si>
  <si>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</si>
  <si>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</si>
  <si>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</si>
  <si>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</si>
  <si>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</si>
  <si>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</si>
  <si>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</si>
  <si>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</si>
  <si>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</si>
  <si>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</si>
  <si>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</si>
  <si>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</si>
  <si>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</si>
  <si>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</si>
  <si>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</si>
  <si>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</si>
  <si>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</si>
  <si>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</si>
  <si>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</si>
  <si>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</si>
  <si>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</si>
  <si>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</si>
  <si>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</si>
  <si>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</si>
  <si>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</si>
  <si>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</si>
  <si>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</si>
  <si>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</si>
  <si>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</si>
  <si>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</si>
  <si>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</si>
  <si>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</si>
  <si>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</si>
  <si>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</si>
  <si>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</si>
  <si>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</si>
  <si>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</si>
  <si>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</si>
  <si>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</si>
  <si>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</si>
  <si>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</si>
  <si>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</si>
  <si>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</si>
  <si>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</si>
  <si>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</si>
  <si>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</si>
  <si>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</si>
  <si>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</si>
  <si>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</si>
  <si>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</si>
  <si>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</si>
  <si>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</si>
  <si>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</si>
  <si>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</si>
  <si>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</si>
  <si>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</si>
  <si>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</si>
  <si>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</si>
  <si>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</si>
  <si>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</si>
  <si>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</si>
  <si>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</si>
  <si>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</si>
  <si>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</si>
  <si>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</si>
  <si>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</si>
  <si>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</si>
  <si>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</si>
  <si>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</si>
  <si>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</si>
  <si>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</si>
  <si>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</si>
  <si>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</si>
  <si>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</si>
  <si>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</si>
  <si>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</si>
  <si>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</si>
  <si>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</si>
  <si>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</si>
  <si>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</si>
  <si>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</si>
  <si>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</si>
  <si>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</si>
  <si>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</si>
  <si>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</si>
  <si>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</si>
  <si>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</si>
  <si>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</si>
  <si>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</si>
  <si>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</si>
  <si>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</si>
  <si>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</si>
  <si>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</si>
  <si>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</si>
  <si>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</si>
  <si>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</si>
  <si>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</si>
  <si>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</si>
  <si>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</si>
  <si>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</si>
  <si>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</si>
  <si>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</si>
  <si>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</si>
  <si>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</si>
  <si>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</si>
  <si>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</si>
  <si>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</si>
  <si>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</si>
  <si>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</si>
  <si>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</si>
  <si>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</si>
  <si>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</si>
  <si>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</si>
  <si>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</si>
  <si>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</si>
  <si>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</si>
  <si>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</si>
  <si>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</si>
  <si>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</si>
  <si>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</si>
  <si>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</si>
  <si>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</si>
  <si>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</si>
  <si>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</si>
  <si>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</si>
  <si>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</si>
  <si>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</si>
  <si>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</si>
  <si>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</si>
  <si>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</si>
  <si>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</si>
  <si>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</si>
  <si>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</si>
  <si>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</si>
  <si>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</si>
  <si>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</si>
  <si>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</si>
  <si>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</si>
  <si>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</si>
  <si>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</si>
  <si>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</si>
  <si>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</si>
  <si>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</si>
  <si>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</si>
  <si>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</si>
  <si>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</si>
  <si>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</si>
  <si>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</si>
  <si>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</si>
  <si>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</si>
  <si>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</si>
  <si>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</si>
  <si>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</si>
  <si>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</si>
  <si>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</si>
  <si>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</si>
  <si>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</si>
  <si>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</si>
  <si>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</si>
  <si>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</si>
  <si>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</si>
  <si>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</si>
  <si>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</si>
  <si>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</si>
  <si>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</si>
  <si>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</si>
  <si>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</si>
  <si>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</si>
  <si>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</si>
  <si>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</si>
  <si>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</si>
  <si>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</si>
  <si>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</si>
  <si>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</si>
  <si>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</si>
  <si>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</si>
  <si>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</si>
  <si>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</si>
  <si>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</si>
  <si>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</si>
  <si>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</si>
  <si>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</si>
  <si>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</si>
  <si>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</si>
  <si>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</si>
  <si>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</si>
  <si>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</si>
  <si>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</si>
  <si>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</si>
  <si>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</si>
  <si>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</si>
  <si>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</si>
  <si>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</si>
  <si>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</si>
  <si>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</si>
  <si>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</si>
  <si>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</si>
  <si>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</si>
  <si>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</si>
  <si>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</si>
  <si>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</si>
  <si>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</si>
  <si>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</si>
  <si>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</si>
  <si>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</si>
  <si>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</si>
  <si>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</si>
  <si>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</si>
  <si>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</si>
  <si>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</si>
  <si>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</si>
  <si>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</si>
  <si>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</si>
  <si>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</si>
  <si>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</si>
  <si>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</si>
  <si>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</si>
  <si>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</si>
  <si>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</si>
  <si>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</si>
  <si>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</si>
  <si>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</si>
  <si>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</si>
  <si>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</si>
  <si>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</si>
  <si>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</si>
  <si>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</si>
  <si>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</si>
  <si>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</si>
  <si>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</si>
  <si>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</si>
  <si>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</si>
  <si>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</si>
  <si>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</si>
  <si>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</si>
  <si>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</si>
  <si>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</si>
  <si>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</si>
  <si>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</si>
  <si>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</si>
  <si>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</si>
  <si>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</si>
  <si>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</si>
  <si>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</si>
  <si>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</si>
  <si>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</si>
  <si>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</si>
  <si>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</si>
  <si>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</si>
  <si>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</si>
  <si>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</si>
  <si>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</si>
  <si>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</si>
  <si>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</si>
  <si>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</si>
  <si>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</si>
  <si>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</si>
  <si>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</si>
  <si>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</si>
  <si>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</si>
  <si>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</si>
  <si>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</si>
  <si>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</si>
  <si>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</si>
  <si>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</si>
  <si>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</si>
  <si>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</si>
  <si>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</si>
  <si>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</si>
  <si>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</si>
  <si>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</si>
  <si>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</si>
  <si>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</si>
  <si>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</si>
  <si>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</si>
  <si>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</si>
  <si>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</si>
  <si>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</si>
  <si>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</si>
  <si>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</si>
  <si>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</si>
  <si>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</si>
  <si>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</si>
  <si>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</si>
  <si>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</si>
  <si>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</si>
  <si>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</si>
  <si>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</si>
  <si>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</si>
  <si>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</si>
  <si>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</si>
  <si>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</si>
  <si>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</si>
  <si>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</si>
  <si>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</si>
  <si>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</si>
  <si>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</si>
  <si>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</si>
  <si>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</si>
  <si>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</si>
  <si>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</si>
  <si>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</si>
  <si>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</si>
  <si>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</si>
  <si>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</si>
  <si>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</si>
  <si>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</si>
  <si>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</si>
  <si>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</si>
  <si>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</si>
  <si>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</si>
  <si>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</si>
  <si>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</si>
  <si>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</si>
  <si>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</si>
  <si>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</si>
  <si>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</si>
  <si>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</si>
  <si>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</si>
  <si>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</si>
  <si>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</si>
  <si>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</si>
  <si>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</si>
  <si>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</si>
  <si>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</si>
  <si>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</si>
  <si>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</si>
  <si>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</si>
  <si>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</si>
  <si>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</si>
  <si>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</si>
  <si>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</si>
  <si>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</si>
  <si>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</si>
  <si>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</si>
  <si>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</si>
  <si>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</si>
  <si>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</si>
  <si>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</si>
  <si>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</si>
  <si>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</si>
  <si>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</si>
  <si>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</si>
  <si>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</si>
  <si>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</si>
  <si>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</si>
  <si>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</si>
  <si>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</si>
  <si>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</si>
  <si>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</si>
  <si>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</si>
  <si>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</si>
  <si>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</si>
  <si>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</si>
  <si>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</si>
  <si>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</si>
  <si>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</si>
  <si>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</si>
  <si>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</si>
  <si>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</si>
  <si>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</si>
  <si>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</si>
  <si>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</si>
  <si>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</si>
  <si>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</si>
  <si>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</si>
  <si>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</si>
  <si>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</si>
  <si>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</si>
  <si>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</si>
  <si>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</si>
  <si>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</si>
  <si>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</si>
  <si>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</si>
  <si>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</si>
  <si>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</si>
  <si>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</si>
  <si>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</si>
  <si>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</si>
  <si>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</si>
  <si>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</si>
  <si>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</si>
  <si>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</si>
  <si>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</si>
  <si>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</si>
  <si>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</si>
  <si>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</si>
  <si>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</si>
  <si>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</si>
  <si>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</si>
  <si>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</si>
  <si>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</si>
  <si>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</si>
  <si>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</si>
  <si>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</si>
  <si>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</si>
  <si>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</si>
  <si>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</si>
  <si>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</si>
  <si>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</si>
  <si>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</si>
  <si>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</si>
  <si>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</si>
  <si>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</si>
  <si>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</si>
  <si>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</si>
  <si>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</si>
  <si>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</si>
  <si>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</si>
  <si>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</si>
  <si>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</si>
  <si>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</si>
  <si>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</si>
  <si>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</si>
  <si>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</si>
  <si>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</si>
  <si>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</si>
  <si>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</si>
  <si>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</si>
  <si>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</si>
  <si>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</si>
  <si>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</si>
  <si>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</si>
  <si>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</si>
  <si>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</si>
  <si>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</si>
  <si>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</si>
  <si>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</si>
  <si>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</si>
  <si>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</si>
  <si>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</si>
  <si>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</si>
  <si>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</si>
  <si>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</si>
  <si>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</si>
  <si>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</si>
  <si>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</si>
  <si>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</si>
  <si>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</si>
  <si>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</si>
  <si>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</si>
  <si>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</si>
  <si>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</si>
  <si>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</si>
  <si>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</si>
  <si>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</si>
  <si>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</si>
  <si>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</si>
  <si>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</si>
  <si>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</si>
  <si>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</si>
  <si>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</si>
  <si>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</si>
  <si>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</si>
  <si>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</si>
  <si>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</si>
  <si>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</si>
  <si>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</si>
  <si>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</si>
  <si>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</si>
  <si>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</si>
  <si>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</si>
  <si>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</si>
  <si>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</si>
  <si>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</si>
  <si>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</si>
  <si>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</si>
  <si>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</si>
  <si>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</si>
  <si>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</si>
  <si>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</si>
  <si>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</si>
  <si>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</si>
  <si>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</si>
  <si>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</si>
  <si>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</si>
  <si>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</si>
  <si>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</si>
  <si>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</si>
  <si>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</si>
  <si>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</si>
  <si>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</si>
  <si>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</si>
  <si>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</si>
  <si>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</si>
  <si>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</si>
  <si>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</si>
  <si>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</si>
  <si>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</si>
  <si>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</si>
  <si>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</si>
  <si>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</si>
  <si>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</si>
  <si>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</si>
  <si>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</si>
  <si>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</si>
  <si>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</si>
  <si>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</si>
  <si>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</si>
  <si>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</si>
  <si>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</si>
  <si>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</si>
  <si>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</si>
  <si>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</si>
  <si>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</si>
  <si>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</si>
  <si>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</si>
  <si>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</si>
  <si>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</si>
  <si>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</si>
  <si>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</si>
  <si>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</si>
  <si>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</si>
  <si>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</si>
  <si>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</si>
  <si>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</si>
  <si>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</si>
  <si>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</si>
  <si>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</si>
  <si>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</si>
  <si>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</si>
  <si>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</si>
  <si>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</si>
  <si>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</si>
  <si>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</si>
  <si>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</si>
  <si>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</si>
  <si>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</si>
  <si>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</si>
  <si>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</si>
  <si>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</si>
  <si>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</si>
  <si>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</si>
  <si>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</si>
  <si>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</si>
  <si>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</si>
  <si>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</si>
  <si>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</si>
  <si>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</si>
  <si>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</si>
  <si>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</si>
  <si>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</si>
  <si>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</si>
  <si>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</si>
  <si>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</si>
  <si>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</si>
  <si>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</si>
  <si>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</si>
  <si>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</si>
  <si>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</si>
  <si>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</si>
  <si>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</si>
  <si>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</si>
  <si>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</si>
  <si>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</si>
  <si>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</si>
  <si>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</si>
  <si>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</si>
  <si>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</si>
  <si>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</si>
  <si>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</si>
  <si>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</si>
  <si>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</si>
  <si>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</si>
  <si>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</si>
  <si>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</si>
  <si>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</si>
  <si>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</si>
  <si>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</si>
  <si>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</si>
  <si>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</si>
  <si>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</si>
  <si>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</si>
  <si>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</si>
  <si>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</si>
  <si>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</si>
  <si>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</si>
  <si>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</si>
  <si>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</si>
  <si>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</si>
  <si>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</si>
  <si>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</si>
  <si>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</si>
  <si>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</si>
  <si>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</si>
  <si>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</si>
  <si>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</si>
  <si>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</si>
  <si>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</si>
  <si>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</si>
  <si>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</si>
  <si>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</si>
  <si>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</si>
  <si>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</si>
  <si>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</si>
  <si>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</si>
  <si>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</si>
  <si>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</si>
  <si>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</si>
  <si>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</si>
  <si>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</si>
  <si>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</si>
  <si>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</si>
  <si>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</si>
  <si>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</si>
  <si>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</si>
  <si>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</si>
  <si>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</si>
  <si>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</si>
  <si>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</si>
  <si>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</si>
  <si>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</si>
  <si>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</si>
  <si>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</si>
  <si>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</si>
  <si>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</si>
  <si>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</si>
  <si>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</si>
  <si>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</si>
  <si>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</si>
  <si>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</si>
  <si>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</si>
  <si>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</si>
  <si>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</si>
  <si>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</si>
  <si>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</si>
  <si>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</si>
  <si>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</si>
  <si>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</si>
  <si>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</si>
  <si>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</si>
  <si>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</si>
  <si>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</si>
  <si>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</si>
  <si>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</si>
  <si>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</si>
  <si>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</si>
  <si>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</si>
  <si>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</si>
  <si>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</si>
  <si>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</si>
  <si>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</si>
  <si>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</si>
  <si>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</si>
  <si>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</si>
  <si>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</si>
  <si>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</si>
  <si>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</si>
  <si>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</si>
  <si>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</si>
  <si>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</si>
  <si>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</si>
  <si>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</si>
  <si>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</si>
  <si>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</si>
  <si>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</si>
  <si>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</si>
  <si>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</si>
  <si>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</si>
  <si>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</si>
  <si>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</si>
  <si>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</si>
  <si>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</si>
  <si>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</si>
  <si>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</si>
  <si>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</si>
  <si>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</si>
  <si>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</si>
  <si>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</si>
  <si>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</si>
  <si>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</si>
  <si>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</si>
  <si>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</si>
  <si>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</si>
  <si>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</si>
  <si>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</si>
  <si>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</si>
  <si>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</si>
  <si>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</si>
  <si>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</si>
  <si>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</si>
  <si>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</si>
  <si>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</si>
  <si>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</si>
  <si>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</si>
  <si>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</si>
  <si>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</si>
  <si>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</si>
  <si>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</si>
  <si>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</si>
  <si>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</si>
  <si>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</si>
  <si>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</si>
  <si>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</si>
  <si>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</si>
  <si>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</si>
  <si>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</si>
  <si>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</si>
  <si>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</si>
  <si>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</si>
  <si>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</si>
  <si>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</si>
  <si>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</si>
  <si>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</si>
  <si>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</si>
  <si>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</si>
  <si>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</si>
  <si>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</si>
  <si>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</si>
  <si>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</si>
  <si>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</si>
  <si>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</si>
  <si>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</si>
  <si>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</si>
  <si>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</si>
  <si>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</si>
  <si>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</si>
  <si>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</si>
  <si>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</si>
  <si>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</si>
  <si>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</si>
  <si>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</si>
  <si>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</si>
  <si>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</si>
  <si>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</si>
  <si>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</si>
  <si>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</si>
  <si>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</si>
  <si>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</si>
  <si>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</si>
  <si>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</si>
  <si>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</si>
  <si>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</si>
  <si>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</si>
  <si>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</si>
  <si>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</si>
  <si>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</si>
  <si>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</si>
  <si>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</si>
  <si>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</si>
  <si>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</si>
  <si>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</si>
  <si>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</si>
  <si>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</si>
  <si>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</si>
  <si>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</si>
  <si>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</si>
  <si>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</si>
  <si>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</si>
  <si>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</si>
  <si>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</si>
  <si>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</si>
  <si>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</si>
  <si>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</si>
  <si>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</si>
  <si>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</si>
  <si>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</si>
  <si>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</si>
  <si>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</si>
  <si>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</si>
  <si>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</si>
  <si>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</si>
  <si>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</si>
  <si>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</si>
  <si>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</si>
  <si>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</si>
  <si>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</si>
  <si>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</si>
  <si>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</si>
  <si>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</si>
  <si>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</si>
  <si>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</si>
  <si>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</si>
  <si>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</si>
  <si>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</si>
  <si>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</si>
  <si>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</si>
  <si>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</si>
  <si>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</si>
  <si>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</si>
  <si>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</si>
  <si>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</si>
  <si>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</si>
  <si>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</si>
  <si>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</si>
  <si>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</si>
  <si>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</si>
  <si>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</si>
  <si>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</si>
  <si>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</si>
  <si>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</si>
  <si>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</si>
  <si>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</si>
  <si>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</si>
  <si>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</si>
  <si>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</si>
  <si>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</si>
  <si>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</si>
  <si>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</si>
  <si>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</si>
  <si>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</si>
  <si>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</si>
  <si>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</si>
  <si>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</si>
  <si>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</si>
  <si>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</si>
  <si>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</si>
  <si>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</si>
  <si>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</si>
  <si>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</si>
  <si>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</si>
  <si>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</si>
  <si>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</si>
  <si>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</si>
  <si>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</si>
  <si>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</si>
  <si>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</si>
  <si>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</si>
  <si>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</si>
  <si>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</si>
  <si>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</si>
  <si>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</si>
  <si>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</si>
  <si>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</si>
  <si>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</si>
  <si>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</si>
  <si>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</si>
  <si>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</si>
  <si>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</si>
  <si>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</si>
  <si>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</si>
  <si>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</si>
  <si>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</si>
  <si>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</si>
  <si>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</si>
  <si>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</si>
  <si>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</si>
  <si>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</si>
  <si>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</si>
  <si>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</si>
  <si>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</si>
  <si>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</si>
  <si>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</si>
  <si>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</si>
  <si>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</si>
  <si>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</si>
  <si>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</si>
  <si>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</si>
  <si>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</si>
  <si>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</si>
  <si>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</si>
  <si>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</si>
  <si>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</si>
  <si>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</si>
  <si>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</si>
  <si>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</si>
  <si>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</si>
  <si>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</si>
  <si>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</si>
  <si>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</si>
  <si>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</si>
  <si>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</si>
  <si>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</si>
  <si>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</si>
  <si>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</si>
  <si>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</si>
  <si>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</si>
  <si>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</si>
  <si>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</si>
  <si>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</si>
  <si>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</si>
  <si>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</si>
  <si>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</si>
  <si>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</si>
  <si>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</si>
  <si>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</si>
  <si>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</si>
  <si>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</si>
  <si>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</si>
  <si>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</si>
  <si>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</si>
  <si>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</si>
  <si>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</si>
  <si>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</si>
  <si>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</si>
  <si>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</si>
  <si>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</si>
  <si>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</si>
  <si>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</si>
  <si>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</si>
  <si>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</si>
  <si>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</si>
  <si>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</si>
  <si>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</si>
  <si>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</si>
  <si>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</si>
  <si>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</si>
  <si>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</si>
  <si>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</si>
  <si>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</si>
  <si>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</si>
  <si>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</si>
  <si>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</si>
  <si>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</si>
  <si>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</si>
  <si>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</si>
  <si>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</si>
  <si>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</si>
  <si>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</si>
  <si>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</si>
  <si>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</si>
  <si>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</si>
  <si>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</si>
  <si>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</si>
  <si>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</si>
  <si>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</si>
  <si>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</si>
  <si>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</si>
  <si>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</si>
  <si>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</si>
  <si>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</si>
  <si>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</si>
  <si>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</si>
  <si>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</si>
  <si>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</si>
  <si>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</si>
  <si>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</si>
  <si>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</si>
  <si>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</si>
  <si>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</si>
  <si>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</si>
  <si>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</si>
  <si>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</si>
  <si>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</si>
  <si>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</si>
  <si>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</si>
  <si>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</si>
  <si>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</si>
  <si>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</si>
  <si>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</si>
  <si>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</si>
  <si>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</si>
  <si>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</si>
  <si>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</si>
  <si>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</si>
  <si>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</si>
  <si>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</si>
  <si>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</si>
  <si>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</si>
  <si>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</si>
  <si>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</si>
  <si>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</si>
  <si>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</si>
  <si>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</si>
  <si>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</si>
  <si>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</si>
  <si>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</si>
  <si>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</si>
  <si>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</si>
  <si>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</si>
  <si>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</si>
  <si>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</si>
  <si>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</si>
  <si>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</si>
  <si>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</si>
  <si>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</si>
  <si>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</si>
  <si>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</si>
  <si>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</si>
  <si>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</si>
  <si>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</si>
  <si>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</si>
  <si>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</si>
  <si>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</si>
  <si>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</si>
  <si>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</si>
  <si>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</si>
  <si>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</si>
  <si>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</si>
  <si>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</si>
  <si>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</si>
  <si>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</si>
  <si>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</si>
  <si>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</si>
  <si>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</si>
  <si>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</si>
  <si>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</si>
  <si>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</si>
  <si>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</si>
  <si>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</si>
  <si>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</si>
  <si>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</si>
  <si>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</si>
  <si>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</si>
  <si>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</si>
  <si>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</si>
  <si>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</si>
  <si>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</si>
  <si>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</si>
  <si>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</si>
  <si>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</si>
  <si>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</si>
  <si>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</si>
  <si>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</si>
  <si>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</si>
  <si>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</si>
  <si>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</si>
  <si>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</si>
  <si>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</si>
  <si>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</si>
  <si>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</si>
  <si>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</si>
  <si>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</si>
  <si>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</si>
  <si>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</si>
  <si>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</si>
  <si>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</si>
  <si>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</si>
  <si>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</si>
  <si>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</si>
  <si>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</si>
  <si>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</si>
  <si>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</si>
  <si>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</si>
  <si>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</si>
  <si>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</si>
  <si>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</si>
  <si>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</si>
  <si>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</si>
  <si>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</si>
  <si>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</si>
  <si>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</si>
  <si>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</si>
  <si>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</si>
  <si>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</si>
  <si>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</si>
  <si>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</si>
  <si>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</si>
  <si>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</si>
  <si>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</si>
  <si>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</si>
  <si>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</si>
  <si>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</si>
  <si>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</si>
  <si>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</si>
  <si>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</si>
  <si>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</si>
  <si>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</si>
  <si>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</si>
  <si>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</si>
  <si>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</si>
  <si>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</si>
  <si>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</si>
  <si>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</si>
  <si>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</si>
  <si>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</si>
  <si>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</si>
  <si>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</si>
  <si>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</si>
  <si>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</si>
  <si>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</si>
  <si>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</si>
  <si>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</si>
  <si>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</si>
  <si>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</si>
  <si>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</si>
  <si>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</si>
  <si>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</si>
  <si>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</si>
  <si>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</si>
  <si>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</si>
  <si>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</si>
  <si>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</si>
  <si>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</si>
  <si>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</si>
  <si>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</si>
  <si>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</si>
  <si>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</si>
  <si>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</si>
  <si>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</si>
  <si>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</si>
  <si>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</si>
  <si>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</si>
  <si>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</si>
  <si>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</si>
  <si>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</si>
  <si>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</si>
  <si>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</si>
  <si>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</si>
  <si>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</si>
  <si>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</si>
  <si>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</si>
  <si>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</si>
  <si>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</si>
  <si>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</si>
  <si>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</si>
  <si>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</si>
  <si>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</si>
  <si>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</si>
  <si>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</si>
  <si>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</si>
  <si>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</si>
  <si>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</si>
  <si>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</si>
  <si>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</si>
  <si>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</si>
  <si>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</si>
  <si>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</si>
  <si>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</si>
  <si>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</si>
  <si>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</si>
  <si>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</si>
  <si>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</si>
  <si>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</si>
  <si>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</si>
  <si>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</si>
  <si>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</si>
  <si>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</si>
  <si>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</si>
  <si>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</si>
  <si>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</si>
  <si>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</si>
  <si>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</si>
  <si>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</si>
  <si>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</si>
  <si>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</si>
  <si>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</si>
  <si>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</si>
  <si>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</si>
  <si>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</si>
  <si>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</si>
  <si>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</si>
  <si>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</si>
  <si>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</si>
  <si>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</si>
  <si>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</si>
  <si>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</si>
  <si>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</si>
  <si>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</si>
  <si>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</si>
  <si>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</si>
  <si>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</si>
  <si>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</si>
  <si>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</si>
  <si>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</si>
  <si>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</si>
  <si>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</si>
  <si>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</si>
  <si>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</si>
  <si>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</si>
  <si>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</si>
  <si>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</si>
  <si>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</si>
  <si>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</si>
  <si>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</si>
  <si>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</si>
  <si>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</si>
  <si>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</si>
  <si>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</si>
  <si>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</si>
  <si>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</si>
  <si>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</si>
  <si>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</si>
  <si>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</si>
  <si>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</si>
  <si>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</si>
  <si>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</si>
  <si>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</si>
  <si>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</si>
  <si>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</si>
  <si>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</si>
  <si>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</si>
  <si>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</si>
  <si>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</si>
  <si>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</si>
  <si>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</si>
  <si>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</si>
  <si>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</si>
  <si>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</si>
  <si>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</si>
  <si>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</si>
  <si>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</si>
  <si>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</si>
  <si>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</si>
  <si>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</si>
  <si>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</si>
  <si>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</si>
  <si>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</si>
  <si>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</si>
  <si>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</si>
  <si>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</si>
  <si>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</si>
  <si>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</si>
  <si>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</si>
  <si>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</si>
  <si>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</si>
  <si>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</si>
  <si>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</si>
  <si>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</si>
  <si>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</si>
  <si>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</si>
  <si>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</si>
  <si>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</si>
  <si>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</si>
  <si>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</si>
  <si>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</si>
  <si>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</si>
  <si>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</si>
  <si>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</si>
  <si>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</si>
  <si>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</si>
  <si>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</si>
  <si>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</si>
  <si>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</si>
  <si>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</si>
  <si>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</si>
  <si>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</si>
  <si>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</si>
  <si>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</si>
  <si>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</si>
  <si>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</si>
  <si>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</si>
  <si>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</si>
  <si>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</si>
  <si>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</si>
  <si>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</si>
  <si>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</si>
  <si>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</si>
  <si>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</si>
  <si>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</si>
  <si>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</si>
  <si>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</si>
  <si>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</si>
  <si>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</si>
  <si>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</si>
  <si>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</si>
  <si>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</si>
  <si>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</si>
  <si>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</si>
  <si>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</si>
  <si>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</si>
  <si>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</si>
  <si>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</si>
  <si>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</si>
  <si>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</si>
  <si>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</si>
  <si>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</si>
  <si>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</si>
  <si>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</si>
  <si>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</si>
  <si>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</si>
  <si>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</si>
  <si>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</si>
  <si>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</si>
  <si>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</si>
  <si>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</si>
  <si>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</si>
  <si>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</si>
  <si>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</si>
  <si>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</si>
  <si>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</si>
  <si>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</si>
  <si>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</si>
  <si>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</si>
  <si>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</si>
  <si>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</si>
  <si>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</si>
  <si>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</si>
  <si>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</si>
  <si>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</si>
  <si>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</si>
  <si>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</si>
  <si>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</si>
  <si>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</si>
  <si>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</si>
  <si>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</si>
  <si>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</si>
  <si>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</si>
  <si>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</si>
  <si>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</si>
  <si>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</si>
  <si>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</si>
  <si>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</si>
  <si>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</si>
  <si>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</si>
  <si>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</si>
  <si>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</si>
  <si>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</si>
  <si>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</si>
  <si>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</si>
  <si>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</si>
  <si>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</si>
  <si>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</si>
  <si>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</si>
  <si>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</si>
  <si>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</si>
  <si>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</si>
  <si>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</si>
  <si>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</si>
  <si>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</si>
  <si>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</si>
  <si>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</si>
  <si>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</si>
  <si>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</si>
  <si>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</si>
  <si>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</si>
  <si>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</si>
  <si>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</si>
  <si>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</si>
  <si>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</si>
  <si>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</si>
  <si>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</si>
  <si>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</si>
  <si>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</si>
  <si>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</si>
  <si>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</si>
  <si>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</si>
  <si>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</si>
  <si>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</si>
  <si>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</si>
  <si>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</si>
  <si>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</si>
  <si>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</si>
  <si>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</si>
  <si>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</si>
  <si>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</si>
  <si>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</si>
  <si>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</si>
  <si>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</si>
  <si>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</si>
  <si>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</si>
  <si>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</si>
  <si>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</si>
  <si>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</si>
  <si>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</si>
  <si>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</si>
  <si>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</si>
  <si>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</si>
  <si>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</si>
  <si>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</si>
  <si>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</si>
  <si>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</si>
  <si>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</si>
  <si>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</si>
  <si>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</si>
  <si>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</si>
  <si>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</si>
  <si>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</si>
  <si>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</si>
  <si>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</si>
  <si>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</si>
  <si>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</si>
  <si>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</si>
  <si>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</si>
  <si>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</si>
  <si>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</si>
  <si>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</si>
  <si>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</si>
  <si>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</si>
  <si>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</si>
  <si>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</si>
  <si>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</si>
  <si>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</si>
  <si>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</si>
  <si>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</si>
  <si>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</si>
  <si>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</si>
  <si>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</si>
  <si>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</si>
  <si>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</si>
  <si>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</si>
  <si>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</si>
  <si>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</si>
  <si>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</si>
  <si>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</si>
  <si>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</si>
  <si>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</si>
  <si>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</si>
  <si>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</si>
  <si>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</si>
  <si>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</si>
  <si>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</si>
  <si>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</si>
  <si>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</si>
  <si>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</si>
  <si>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</si>
  <si>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</si>
  <si>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</si>
  <si>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</si>
  <si>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</si>
  <si>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</si>
  <si>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</si>
  <si>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</si>
  <si>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</si>
  <si>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</si>
  <si>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</si>
  <si>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</si>
  <si>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</si>
  <si>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</si>
  <si>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</si>
  <si>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</si>
  <si>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</si>
  <si>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</si>
  <si>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</si>
  <si>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</si>
  <si>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</si>
  <si>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</si>
  <si>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</si>
  <si>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</si>
  <si>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</si>
  <si>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</si>
  <si>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</si>
  <si>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</si>
  <si>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</si>
  <si>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</si>
  <si>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</si>
  <si>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</si>
  <si>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</si>
  <si>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</si>
  <si>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</si>
  <si>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</si>
  <si>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</si>
  <si>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</si>
  <si>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</si>
  <si>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</si>
  <si>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</si>
  <si>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</si>
  <si>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</si>
  <si>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</si>
  <si>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</si>
  <si>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</si>
  <si>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</si>
  <si>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</si>
  <si>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</si>
  <si>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</si>
  <si>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</si>
  <si>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</si>
  <si>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</si>
  <si>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</si>
  <si>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</si>
  <si>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</si>
  <si>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</si>
  <si>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</si>
  <si>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</si>
  <si>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</si>
  <si>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</si>
  <si>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</si>
  <si>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</si>
  <si>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</si>
  <si>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</si>
  <si>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</si>
  <si>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</si>
  <si>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</si>
  <si>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</si>
  <si>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</si>
  <si>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</si>
  <si>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</si>
  <si>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</si>
  <si>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</si>
  <si>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</si>
  <si>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</si>
  <si>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</si>
  <si>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</si>
  <si>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</si>
  <si>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</si>
  <si>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</si>
  <si>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</si>
  <si>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</si>
  <si>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</si>
  <si>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</si>
  <si>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</si>
  <si>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</si>
  <si>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</si>
  <si>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</si>
  <si>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</si>
  <si>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</si>
  <si>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</si>
  <si>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</si>
  <si>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</si>
  <si>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</si>
  <si>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</si>
  <si>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</si>
  <si>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</si>
  <si>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</si>
  <si>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</si>
  <si>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</si>
  <si>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</si>
  <si>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</si>
  <si>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</si>
  <si>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</si>
  <si>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</si>
  <si>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</si>
  <si>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</si>
  <si>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</si>
  <si>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</si>
  <si>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</si>
  <si>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</si>
  <si>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</si>
  <si>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</si>
  <si>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</si>
  <si>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</si>
  <si>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</si>
  <si>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</si>
  <si>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</si>
  <si>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</si>
  <si>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</si>
  <si>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</si>
  <si>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</si>
  <si>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</si>
  <si>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</si>
  <si>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</si>
  <si>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</si>
  <si>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</si>
  <si>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</si>
  <si>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</si>
  <si>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</si>
  <si>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</si>
  <si>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</si>
  <si>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</si>
  <si>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</si>
  <si>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</si>
  <si>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</si>
  <si>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</si>
  <si>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</si>
  <si>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</si>
  <si>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</si>
  <si>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</si>
  <si>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</si>
  <si>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</si>
  <si>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</si>
  <si>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</si>
  <si>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</si>
  <si>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</si>
  <si>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</si>
  <si>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</si>
  <si>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</si>
  <si>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</si>
  <si>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</si>
  <si>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</si>
  <si>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</si>
  <si>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</si>
  <si>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</si>
  <si>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</si>
  <si>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</si>
  <si>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</si>
  <si>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</si>
  <si>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</si>
  <si>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</si>
  <si>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</si>
  <si>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</si>
  <si>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</si>
  <si>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</si>
  <si>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</si>
  <si>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</si>
  <si>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</si>
  <si>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</si>
  <si>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</si>
  <si>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</si>
  <si>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</si>
  <si>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</si>
  <si>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</si>
  <si>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</si>
  <si>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</si>
  <si>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</si>
  <si>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</si>
  <si>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</si>
  <si>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</si>
  <si>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</si>
  <si>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</si>
  <si>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</si>
  <si>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</si>
  <si>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</si>
  <si>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</si>
  <si>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</si>
  <si>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</si>
  <si>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</si>
  <si>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</si>
  <si>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</si>
  <si>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</si>
  <si>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</si>
  <si>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</si>
  <si>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</si>
  <si>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</si>
  <si>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</si>
  <si>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</si>
  <si>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</si>
  <si>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</si>
  <si>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</si>
  <si>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</si>
  <si>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</si>
  <si>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</si>
  <si>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</si>
  <si>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</si>
  <si>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</si>
  <si>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</si>
  <si>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</si>
  <si>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</si>
  <si>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</si>
  <si>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</si>
  <si>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</si>
  <si>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</si>
  <si>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</si>
  <si>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</si>
  <si>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</si>
  <si>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</si>
  <si>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</si>
  <si>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</si>
  <si>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</si>
  <si>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</si>
  <si>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</si>
  <si>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</si>
  <si>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</si>
  <si>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</si>
  <si>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</si>
  <si>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</si>
  <si>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</si>
  <si>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</si>
  <si>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</si>
  <si>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</si>
  <si>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</si>
  <si>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</si>
  <si>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</si>
  <si>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</si>
  <si>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</si>
  <si>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</si>
  <si>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</si>
  <si>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</si>
  <si>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</si>
  <si>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</si>
  <si>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</si>
  <si>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</si>
  <si>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</si>
  <si>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</si>
  <si>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</si>
  <si>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</si>
  <si>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</si>
  <si>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</si>
  <si>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</si>
  <si>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</si>
  <si>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</si>
  <si>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</si>
  <si>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</si>
  <si>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</si>
  <si>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</si>
  <si>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</si>
  <si>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</si>
  <si>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</si>
  <si>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</si>
  <si>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</si>
  <si>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</si>
  <si>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</si>
  <si>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</si>
  <si>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</si>
  <si>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</si>
  <si>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</si>
  <si>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</si>
  <si>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</si>
  <si>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</si>
  <si>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</si>
  <si>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</si>
  <si>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</si>
  <si>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</si>
  <si>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</si>
  <si>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</si>
  <si>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</si>
  <si>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</si>
  <si>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</si>
  <si>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</si>
  <si>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</si>
  <si>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</si>
  <si>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</si>
  <si>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</si>
  <si>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</si>
  <si>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</si>
  <si>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</si>
  <si>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</si>
  <si>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</si>
  <si>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</si>
  <si>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</si>
  <si>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</si>
  <si>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</si>
  <si>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</si>
  <si>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</si>
  <si>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</si>
  <si>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</si>
  <si>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</si>
  <si>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</si>
  <si>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</si>
  <si>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</si>
  <si>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</si>
  <si>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</si>
  <si>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</si>
  <si>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</si>
  <si>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</si>
  <si>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</si>
  <si>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</si>
  <si>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</si>
  <si>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</si>
  <si>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</si>
  <si>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</si>
  <si>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</si>
  <si>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</si>
  <si>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</si>
  <si>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</si>
  <si>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</si>
  <si>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</si>
  <si>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</si>
  <si>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</si>
  <si>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</si>
  <si>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</si>
  <si>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</si>
  <si>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</si>
  <si>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</si>
  <si>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</si>
  <si>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</si>
  <si>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</si>
  <si>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</si>
  <si>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</si>
  <si>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</si>
  <si>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</si>
  <si>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</si>
  <si>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</si>
  <si>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</si>
  <si>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</si>
  <si>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</si>
  <si>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</si>
  <si>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</si>
  <si>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</si>
  <si>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</si>
  <si>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</si>
  <si>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</si>
  <si>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</si>
  <si>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</si>
  <si>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</si>
  <si>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</si>
  <si>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</si>
  <si>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</si>
  <si>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</si>
  <si>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</si>
  <si>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</si>
  <si>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</si>
  <si>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</si>
  <si>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</si>
  <si>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</si>
  <si>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</si>
  <si>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</si>
  <si>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</si>
  <si>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</si>
  <si>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</si>
  <si>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</si>
  <si>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</si>
  <si>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</si>
  <si>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</si>
  <si>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</si>
  <si>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</si>
  <si>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</si>
  <si>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</si>
  <si>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</si>
  <si>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</si>
  <si>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</si>
  <si>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</si>
  <si>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</si>
  <si>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</si>
  <si>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</si>
  <si>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</si>
  <si>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</si>
  <si>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</si>
  <si>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</si>
  <si>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</si>
  <si>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</si>
  <si>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</si>
  <si>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</si>
  <si>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</si>
  <si>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</si>
  <si>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</si>
  <si>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</si>
  <si>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</si>
  <si>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</si>
  <si>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</si>
  <si>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</si>
  <si>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</si>
  <si>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</si>
  <si>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</si>
  <si>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</si>
  <si>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</si>
  <si>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</si>
  <si>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</si>
  <si>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</si>
  <si>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</si>
  <si>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</si>
  <si>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</si>
  <si>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</si>
  <si>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</si>
  <si>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</si>
  <si>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</si>
  <si>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</si>
  <si>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</si>
  <si>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</si>
  <si>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</si>
  <si>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</si>
  <si>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</si>
  <si>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</si>
  <si>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</si>
  <si>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</si>
  <si>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</si>
  <si>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</si>
  <si>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</si>
  <si>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</si>
  <si>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</si>
  <si>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</si>
  <si>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</si>
  <si>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</si>
  <si>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</si>
  <si>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</si>
  <si>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</si>
  <si>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</si>
  <si>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</si>
  <si>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</si>
  <si>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</si>
  <si>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</si>
  <si>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</si>
  <si>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</si>
  <si>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</si>
  <si>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</si>
  <si>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</si>
  <si>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</si>
  <si>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</si>
  <si>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</si>
  <si>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</si>
  <si>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</si>
  <si>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</si>
  <si>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</si>
  <si>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</si>
  <si>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</si>
  <si>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</si>
  <si>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</si>
  <si>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</si>
  <si>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</si>
  <si>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</si>
  <si>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</si>
  <si>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</si>
  <si>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</si>
  <si>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</si>
  <si>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</si>
  <si>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</si>
  <si>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</si>
  <si>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</si>
  <si>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</si>
  <si>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</si>
  <si>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</si>
  <si>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</si>
  <si>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</si>
  <si>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</si>
  <si>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</si>
  <si>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</si>
  <si>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</si>
  <si>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</si>
  <si>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</si>
  <si>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</si>
  <si>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</si>
  <si>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</si>
  <si>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</si>
  <si>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</si>
  <si>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</si>
  <si>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</si>
  <si>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</si>
  <si>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</si>
  <si>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</si>
  <si>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</si>
  <si>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</si>
  <si>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</si>
  <si>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</si>
  <si>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</si>
  <si>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</si>
  <si>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</si>
  <si>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</si>
  <si>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</si>
  <si>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</si>
  <si>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</si>
  <si>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</si>
  <si>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</si>
  <si>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</si>
  <si>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</si>
  <si>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</si>
  <si>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</si>
  <si>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</si>
  <si>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</si>
  <si>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</si>
  <si>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</si>
  <si>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</si>
  <si>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</si>
  <si>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</si>
  <si>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</si>
  <si>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</si>
  <si>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</si>
  <si>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</si>
  <si>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</si>
  <si>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</si>
  <si>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</si>
  <si>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</si>
  <si>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</si>
  <si>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</si>
  <si>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</si>
  <si>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</si>
  <si>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</si>
  <si>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</si>
  <si>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</si>
  <si>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</si>
  <si>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</si>
  <si>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</si>
  <si>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</si>
  <si>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</si>
  <si>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</si>
  <si>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</si>
  <si>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</si>
  <si>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</si>
  <si>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</si>
  <si>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</si>
  <si>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</si>
  <si>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</si>
  <si>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</si>
  <si>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</si>
  <si>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</si>
  <si>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</si>
  <si>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</si>
  <si>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</si>
  <si>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</si>
  <si>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</si>
  <si>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</si>
  <si>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</si>
  <si>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</si>
  <si>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</si>
  <si>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</si>
  <si>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</si>
  <si>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</si>
  <si>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</si>
  <si>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</si>
  <si>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</si>
  <si>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</si>
  <si>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</si>
  <si>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</si>
  <si>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</si>
  <si>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</si>
  <si>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</si>
  <si>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</si>
  <si>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</si>
  <si>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</si>
  <si>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</si>
  <si>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</si>
  <si>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</si>
  <si>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</si>
  <si>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</si>
  <si>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</si>
  <si>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</si>
  <si>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</si>
  <si>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</si>
  <si>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</si>
  <si>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</si>
  <si>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</si>
  <si>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</si>
  <si>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</si>
  <si>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</si>
  <si>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</si>
  <si>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</si>
  <si>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</si>
  <si>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</si>
  <si>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</si>
  <si>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</si>
  <si>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</si>
  <si>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</si>
  <si>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</si>
  <si>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</si>
  <si>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</si>
  <si>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</si>
  <si>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</si>
  <si>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</si>
  <si>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</si>
  <si>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</si>
  <si>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</si>
  <si>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</si>
  <si>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</si>
  <si>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</si>
  <si>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</si>
  <si>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</si>
  <si>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</si>
  <si>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</si>
  <si>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</si>
  <si>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</si>
  <si>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</si>
  <si>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</si>
  <si>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</si>
  <si>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</si>
  <si>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</si>
  <si>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</si>
  <si>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</si>
  <si>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</si>
  <si>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</si>
  <si>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</si>
  <si>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</si>
  <si>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</si>
  <si>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</si>
  <si>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</si>
  <si>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</si>
  <si>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</si>
  <si>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</si>
  <si>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</si>
  <si>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</si>
  <si>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</si>
  <si>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</si>
  <si>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</si>
  <si>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</si>
  <si>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</si>
  <si>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</si>
  <si>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</si>
  <si>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</si>
  <si>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</si>
  <si>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</si>
  <si>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</si>
  <si>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</si>
  <si>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</si>
  <si>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</si>
  <si>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</si>
  <si>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</si>
  <si>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</si>
  <si>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</si>
  <si>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</si>
  <si>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</si>
  <si>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</si>
  <si>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</si>
  <si>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</si>
  <si>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</si>
  <si>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</si>
  <si>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</si>
  <si>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</si>
  <si>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</si>
  <si>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</si>
  <si>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</si>
  <si>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</si>
  <si>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</si>
  <si>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</si>
  <si>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</si>
  <si>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</si>
  <si>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</si>
  <si>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</si>
  <si>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</si>
  <si>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</si>
  <si>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</si>
  <si>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</si>
  <si>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</si>
  <si>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</si>
  <si>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</si>
  <si>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</si>
  <si>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</si>
  <si>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</si>
  <si>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</si>
  <si>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</si>
  <si>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</si>
  <si>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</si>
  <si>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</si>
  <si>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</si>
  <si>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</si>
  <si>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</si>
  <si>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</si>
  <si>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</si>
  <si>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</si>
  <si>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</si>
  <si>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</si>
  <si>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</si>
  <si>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</si>
  <si>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</si>
  <si>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TotalRevenue</t>
  </si>
  <si>
    <t>Count</t>
  </si>
  <si>
    <t>Mean</t>
  </si>
  <si>
    <t>Median</t>
  </si>
  <si>
    <t>Minimum</t>
  </si>
  <si>
    <t>Maximum</t>
  </si>
  <si>
    <t>Metric / Statistic</t>
  </si>
  <si>
    <t>Quantity (Col E)</t>
  </si>
  <si>
    <t>Unit Price (Col F)</t>
  </si>
  <si>
    <t>Items in Cart (Col K)</t>
  </si>
  <si>
    <t>Total Price (Col N)</t>
  </si>
  <si>
    <t>Formular</t>
  </si>
  <si>
    <t>Std Deviation</t>
  </si>
  <si>
    <t>Q1</t>
  </si>
  <si>
    <t>Q3</t>
  </si>
  <si>
    <t>IQR</t>
  </si>
  <si>
    <t>Upper Outlier</t>
  </si>
  <si>
    <t>Outliers Count</t>
  </si>
  <si>
    <t>2. ORDER STATUS DISTRIBUTION &amp; METRICS</t>
  </si>
  <si>
    <t>Order Status</t>
  </si>
  <si>
    <t>Order Count</t>
  </si>
  <si>
    <t>Total Revenue</t>
  </si>
  <si>
    <t xml:space="preserve">% of Total Orders </t>
  </si>
  <si>
    <t>Deliverd</t>
  </si>
  <si>
    <t>Total</t>
  </si>
  <si>
    <t>PROJECT 2: EXPLORATORY DATA ANALYSIS (EDA)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</si>
</sst>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65" fontId="0" fillId="0" borderId="0" xfId="0" applyNumberFormat="1"/>
    <xf numFmtId="0" fontId="3" fillId="2" borderId="0" xfId="0" applyFont="1" applyFill="1"/>
    <xf numFmtId="0" fontId="1" fillId="0" borderId="0" xfId="0" applyFont="1"/>
    <xf numFmtId="2" fontId="0" fillId="0" borderId="0" xfId="0" applyNumberFormat="1"/>
    <xf numFmtId="165" fontId="3" fillId="2" borderId="0" xfId="0" applyNumberFormat="1" applyFont="1" applyFill="1"/>
    <xf numFmtId="0" fontId="6" fillId="2" borderId="0" xfId="0" applyFont="1" applyFill="1"/>
    <xf numFmtId="165" fontId="6" fillId="2" borderId="0" xfId="0" applyNumberFormat="1" applyFont="1" applyFill="1"/>
    <xf numFmtId="9" fontId="0" fillId="0" borderId="0" xfId="1" applyFont="1"/>
    <xf numFmtId="10" fontId="0" fillId="0" borderId="0" xfId="1" applyNumberFormat="1" applyFont="1"/>
    <xf numFmtId="0" fontId="5" fillId="0" borderId="0" xfId="0" applyFont="1"/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7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Order </a:t>
            </a:r>
            <a:r>
              <a:rPr lang="en-GB" b="1"/>
              <a:t>Status Breakdown</a:t>
            </a:r>
            <a:endParaRPr lang="en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EDA_Summary!$B$19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EDA_Summary!$A$20:$A$24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Deliverd</c:v>
                </c:pt>
              </c:strCache>
            </c:strRef>
          </c:cat>
          <c:val>
            <c:numRef>
              <c:f>EDA_Summary!$B$20:$B$24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9-4978-9EEB-1E9C1E191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146528"/>
        <c:axId val="2088443696"/>
      </c:barChart>
      <c:catAx>
        <c:axId val="96514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Status</a:t>
                </a:r>
                <a:endParaRPr lang="en-DE" sz="1200" b="1"/>
              </a:p>
            </c:rich>
          </c:tx>
          <c:layout>
            <c:manualLayout>
              <c:xMode val="edge"/>
              <c:yMode val="edge"/>
              <c:x val="0.4770612423447069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88443696"/>
        <c:crosses val="autoZero"/>
        <c:auto val="1"/>
        <c:lblAlgn val="ctr"/>
        <c:lblOffset val="100"/>
        <c:noMultiLvlLbl val="0"/>
      </c:catAx>
      <c:valAx>
        <c:axId val="20884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Number of Orders</a:t>
                </a:r>
                <a:endParaRPr lang="en-DE" sz="1100" b="1"/>
              </a:p>
            </c:rich>
          </c:tx>
          <c:layout>
            <c:manualLayout>
              <c:xMode val="edge"/>
              <c:yMode val="edge"/>
              <c:x val="1.9444444444444445E-2"/>
              <c:y val="0.27158938466025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651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88900</xdr:rowOff>
    </xdr:from>
    <xdr:to>
      <xdr:col>2</xdr:col>
      <xdr:colOff>917575</xdr:colOff>
      <xdr:row>40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0F8A4-0687-844A-22C1-45B269BB3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3A37C7-F7DA-41D7-8964-0DD463C28AD8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8470-2F8E-4080-88EB-27E5982F9351}" name="Table2" displayName="Table2" ref="A1:N1201" totalsRowShown="0" headerRowDxfId="16" headerRowBorderDxfId="15" tableBorderDxfId="14">
  <autoFilter ref="A1:N1201" xr:uid="{8C978470-2F8E-4080-88EB-27E5982F9351}"/>
  <tableColumns count="14">
    <tableColumn id="1" xr3:uid="{F3F5820F-5AF6-4073-9B2B-7101077C46CB}" name="OrderID"/>
    <tableColumn id="2" xr3:uid="{65FBDADB-F9CF-4AA1-8A1E-F24EE4B1D7F9}" name="Date" dataDxfId="13"/>
    <tableColumn id="3" xr3:uid="{DED4C77E-1A75-44C0-A74E-DE8D9532572A}" name="CustomerID"/>
    <tableColumn id="4" xr3:uid="{CC008001-3E01-407E-AACF-FB2B7AB6D8E6}" name="Product"/>
    <tableColumn id="5" xr3:uid="{EE6DF52C-7A04-406D-98BB-F1BF3C83F844}" name="Quantity"/>
    <tableColumn id="6" xr3:uid="{60B46DAC-0275-4E6A-AB7A-79847150C380}" name="UnitPrice"/>
    <tableColumn id="7" xr3:uid="{7831B338-1229-4D9A-AABC-40B37D3CA7C3}" name="ShippingAddress"/>
    <tableColumn id="8" xr3:uid="{56568639-1AFA-43C8-8271-57CADFD01258}" name="PaymentMethod"/>
    <tableColumn id="9" xr3:uid="{69106156-6C94-4A26-9FBB-1EAEB909EACF}" name="OrderStatus"/>
    <tableColumn id="10" xr3:uid="{49EBFD19-48B9-4E41-B343-9D86ED5AEE9F}" name="TrackingNumber"/>
    <tableColumn id="11" xr3:uid="{A41DF6B7-EE52-43CF-92A3-31A0F5A8E4CE}" name="ItemsInCart"/>
    <tableColumn id="12" xr3:uid="{6F8282D0-21DC-40F6-B681-5012AA81BB5E}" name="CouponCode"/>
    <tableColumn id="13" xr3:uid="{770DE48A-5C82-47B1-8100-0A6C1AC0D923}" name="ReferralSource"/>
    <tableColumn id="14" xr3:uid="{8F9CD001-BCBC-4044-9041-C6AA8E7D9F32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1385F7-0AC0-4E0B-B9B7-4177047AD6ED}" name="Orders_Cleaned" displayName="Orders_Cleaned" ref="A1:O1201" tableType="queryTable" totalsRowShown="0">
  <autoFilter ref="A1:O1201" xr:uid="{701385F7-0AC0-4E0B-B9B7-4177047AD6ED}"/>
  <tableColumns count="15">
    <tableColumn id="1" xr3:uid="{E99D0DBB-DCC6-4998-AF64-856308D5FB49}" uniqueName="1" name="OrderID" queryTableFieldId="1" dataDxfId="12"/>
    <tableColumn id="2" xr3:uid="{E52BF7BD-3F48-4650-AF43-D3FD5A1E3BFB}" uniqueName="2" name="Date" queryTableFieldId="2" dataDxfId="11"/>
    <tableColumn id="3" xr3:uid="{12A7A2DB-8558-4113-96D8-AD5A582F5FC2}" uniqueName="3" name="CustomerID" queryTableFieldId="3" dataDxfId="10"/>
    <tableColumn id="4" xr3:uid="{33B12E85-D681-4BFF-8527-26A10DD2F006}" uniqueName="4" name="Product" queryTableFieldId="4" dataDxfId="9"/>
    <tableColumn id="5" xr3:uid="{62CF45E8-F30B-49AE-AF73-A387C2D4300A}" uniqueName="5" name="Quantity" queryTableFieldId="5"/>
    <tableColumn id="6" xr3:uid="{6B96D280-A1EC-4068-856B-7DB0A551D2BE}" uniqueName="6" name="UnitPrice" queryTableFieldId="6" dataDxfId="8"/>
    <tableColumn id="7" xr3:uid="{A51C7AF2-88CD-42FE-B091-2CD524866103}" uniqueName="7" name="ShippingAddress" queryTableFieldId="7" dataDxfId="7"/>
    <tableColumn id="8" xr3:uid="{6B5208A0-5011-4817-80BB-75DF084D1E92}" uniqueName="8" name="PaymentMethod" queryTableFieldId="8" dataDxfId="6"/>
    <tableColumn id="9" xr3:uid="{7286907A-1393-4FB6-90CB-FBE6C36283FA}" uniqueName="9" name="OrderStatus" queryTableFieldId="9" dataDxfId="5"/>
    <tableColumn id="10" xr3:uid="{B545C03A-D297-44AE-9CB4-DDCF88C83F82}" uniqueName="10" name="TrackingNumber" queryTableFieldId="10" dataDxfId="4"/>
    <tableColumn id="11" xr3:uid="{7F6EDF00-972C-4F05-B51A-7A300694C5AA}" uniqueName="11" name="ItemsInCart" queryTableFieldId="11"/>
    <tableColumn id="12" xr3:uid="{E7920F8A-3BF8-4E74-B6AA-522914263404}" uniqueName="12" name="CouponCode" queryTableFieldId="12" dataDxfId="3"/>
    <tableColumn id="13" xr3:uid="{BBD3B118-313B-4387-8A84-21337FD37C10}" uniqueName="13" name="ReferralSource" queryTableFieldId="13" dataDxfId="2"/>
    <tableColumn id="14" xr3:uid="{D1D2128B-8AD6-4210-B2CA-0862C55F0774}" uniqueName="14" name="TotalPrice" queryTableFieldId="14" dataDxfId="1"/>
    <tableColumn id="15" xr3:uid="{26A2A1C3-2078-40DF-B756-63CE1140F4D8}" uniqueName="15" name="TotalRevenue" queryTableFieldId="15" dataDxfId="0">
      <calculatedColumnFormula>Orders_Cleaned[[#This Row],[Quantity]]*Orders_Cleaned[[#This Row],[UnitPrice]]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E16" sqref="E1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EC30-E590-4888-98B7-A76D4636EA95}">
  <dimension ref="A1:O1201"/>
  <sheetViews>
    <sheetView tabSelected="1" topLeftCell="D1183" workbookViewId="0">
      <selection activeCell="H1199" sqref="H1199"/>
    </sheetView>
  </sheetViews>
  <sheetFormatPr defaultRowHeight="14.5" x14ac:dyDescent="0.35"/>
  <cols>
    <col min="1" max="1" width="10.54296875" bestFit="1" customWidth="1"/>
    <col min="2" max="2" width="15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style="4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style="4" bestFit="1" customWidth="1"/>
    <col min="15" max="15" width="12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4284</v>
      </c>
    </row>
    <row r="2" spans="1:15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  <c r="O2" s="4">
        <f>Orders_Cleaned[[#This Row],[Quantity]]*Orders_Cleaned[[#This Row],[UnitPrice]]</f>
        <v>2853.1</v>
      </c>
    </row>
    <row r="3" spans="1:15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  <c r="O3" s="4">
        <f>Orders_Cleaned[[#This Row],[Quantity]]*Orders_Cleaned[[#This Row],[UnitPrice]]</f>
        <v>302.7</v>
      </c>
    </row>
    <row r="4" spans="1:15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  <c r="O4" s="4">
        <f>Orders_Cleaned[[#This Row],[Quantity]]*Orders_Cleaned[[#This Row],[UnitPrice]]</f>
        <v>2753.3999999999996</v>
      </c>
    </row>
    <row r="5" spans="1:15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  <c r="O5" s="4">
        <f>Orders_Cleaned[[#This Row],[Quantity]]*Orders_Cleaned[[#This Row],[UnitPrice]]</f>
        <v>273.19</v>
      </c>
    </row>
    <row r="6" spans="1:15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O6" s="4">
        <f>Orders_Cleaned[[#This Row],[Quantity]]*Orders_Cleaned[[#This Row],[UnitPrice]]</f>
        <v>2504.04</v>
      </c>
    </row>
    <row r="7" spans="1:15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O7" s="4">
        <f>Orders_Cleaned[[#This Row],[Quantity]]*Orders_Cleaned[[#This Row],[UnitPrice]]</f>
        <v>491.72</v>
      </c>
    </row>
    <row r="8" spans="1:15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  <c r="O8" s="4">
        <f>Orders_Cleaned[[#This Row],[Quantity]]*Orders_Cleaned[[#This Row],[UnitPrice]]</f>
        <v>664.42</v>
      </c>
    </row>
    <row r="9" spans="1:15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  <c r="O9" s="4">
        <f>Orders_Cleaned[[#This Row],[Quantity]]*Orders_Cleaned[[#This Row],[UnitPrice]]</f>
        <v>747.75</v>
      </c>
    </row>
    <row r="10" spans="1:15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  <c r="O10" s="4">
        <f>Orders_Cleaned[[#This Row],[Quantity]]*Orders_Cleaned[[#This Row],[UnitPrice]]</f>
        <v>268.56</v>
      </c>
    </row>
    <row r="11" spans="1:15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  <c r="O11" s="4">
        <f>Orders_Cleaned[[#This Row],[Quantity]]*Orders_Cleaned[[#This Row],[UnitPrice]]</f>
        <v>2037.52</v>
      </c>
    </row>
    <row r="12" spans="1:15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  <c r="O12" s="4">
        <f>Orders_Cleaned[[#This Row],[Quantity]]*Orders_Cleaned[[#This Row],[UnitPrice]]</f>
        <v>3129.8500000000004</v>
      </c>
    </row>
    <row r="13" spans="1:15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  <c r="O13" s="4">
        <f>Orders_Cleaned[[#This Row],[Quantity]]*Orders_Cleaned[[#This Row],[UnitPrice]]</f>
        <v>147.42000000000002</v>
      </c>
    </row>
    <row r="14" spans="1:15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  <c r="O14" s="4">
        <f>Orders_Cleaned[[#This Row],[Quantity]]*Orders_Cleaned[[#This Row],[UnitPrice]]</f>
        <v>361</v>
      </c>
    </row>
    <row r="15" spans="1:15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  <c r="O15" s="4">
        <f>Orders_Cleaned[[#This Row],[Quantity]]*Orders_Cleaned[[#This Row],[UnitPrice]]</f>
        <v>604.47</v>
      </c>
    </row>
    <row r="16" spans="1:15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  <c r="O16" s="4">
        <f>Orders_Cleaned[[#This Row],[Quantity]]*Orders_Cleaned[[#This Row],[UnitPrice]]</f>
        <v>786.66</v>
      </c>
    </row>
    <row r="17" spans="1:15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  <c r="O17" s="4">
        <f>Orders_Cleaned[[#This Row],[Quantity]]*Orders_Cleaned[[#This Row],[UnitPrice]]</f>
        <v>473.96</v>
      </c>
    </row>
    <row r="18" spans="1:15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  <c r="O18" s="4">
        <f>Orders_Cleaned[[#This Row],[Quantity]]*Orders_Cleaned[[#This Row],[UnitPrice]]</f>
        <v>1067.6199999999999</v>
      </c>
    </row>
    <row r="19" spans="1:15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  <c r="O19" s="4">
        <f>Orders_Cleaned[[#This Row],[Quantity]]*Orders_Cleaned[[#This Row],[UnitPrice]]</f>
        <v>423.4</v>
      </c>
    </row>
    <row r="20" spans="1:15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  <c r="O20" s="4">
        <f>Orders_Cleaned[[#This Row],[Quantity]]*Orders_Cleaned[[#This Row],[UnitPrice]]</f>
        <v>431.44</v>
      </c>
    </row>
    <row r="21" spans="1:15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  <c r="O21" s="4">
        <f>Orders_Cleaned[[#This Row],[Quantity]]*Orders_Cleaned[[#This Row],[UnitPrice]]</f>
        <v>1120</v>
      </c>
    </row>
    <row r="22" spans="1:15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  <c r="O22" s="4">
        <f>Orders_Cleaned[[#This Row],[Quantity]]*Orders_Cleaned[[#This Row],[UnitPrice]]</f>
        <v>312.55</v>
      </c>
    </row>
    <row r="23" spans="1:15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  <c r="O23" s="4">
        <f>Orders_Cleaned[[#This Row],[Quantity]]*Orders_Cleaned[[#This Row],[UnitPrice]]</f>
        <v>1371.8</v>
      </c>
    </row>
    <row r="24" spans="1:15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  <c r="O24" s="4">
        <f>Orders_Cleaned[[#This Row],[Quantity]]*Orders_Cleaned[[#This Row],[UnitPrice]]</f>
        <v>99.24</v>
      </c>
    </row>
    <row r="25" spans="1:15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  <c r="O25" s="4">
        <f>Orders_Cleaned[[#This Row],[Quantity]]*Orders_Cleaned[[#This Row],[UnitPrice]]</f>
        <v>1093</v>
      </c>
    </row>
    <row r="26" spans="1:15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  <c r="O26" s="4">
        <f>Orders_Cleaned[[#This Row],[Quantity]]*Orders_Cleaned[[#This Row],[UnitPrice]]</f>
        <v>461.9</v>
      </c>
    </row>
    <row r="27" spans="1:15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  <c r="O27" s="4">
        <f>Orders_Cleaned[[#This Row],[Quantity]]*Orders_Cleaned[[#This Row],[UnitPrice]]</f>
        <v>399.98</v>
      </c>
    </row>
    <row r="28" spans="1:15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  <c r="O28" s="4">
        <f>Orders_Cleaned[[#This Row],[Quantity]]*Orders_Cleaned[[#This Row],[UnitPrice]]</f>
        <v>297.75</v>
      </c>
    </row>
    <row r="29" spans="1:15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  <c r="O29" s="4">
        <f>Orders_Cleaned[[#This Row],[Quantity]]*Orders_Cleaned[[#This Row],[UnitPrice]]</f>
        <v>472.74</v>
      </c>
    </row>
    <row r="30" spans="1:15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  <c r="O30" s="4">
        <f>Orders_Cleaned[[#This Row],[Quantity]]*Orders_Cleaned[[#This Row],[UnitPrice]]</f>
        <v>640.28</v>
      </c>
    </row>
    <row r="31" spans="1:15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  <c r="O31" s="4">
        <f>Orders_Cleaned[[#This Row],[Quantity]]*Orders_Cleaned[[#This Row],[UnitPrice]]</f>
        <v>1270.5899999999999</v>
      </c>
    </row>
    <row r="32" spans="1:15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  <c r="O32" s="4">
        <f>Orders_Cleaned[[#This Row],[Quantity]]*Orders_Cleaned[[#This Row],[UnitPrice]]</f>
        <v>853.4</v>
      </c>
    </row>
    <row r="33" spans="1:15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  <c r="O33" s="4">
        <f>Orders_Cleaned[[#This Row],[Quantity]]*Orders_Cleaned[[#This Row],[UnitPrice]]</f>
        <v>1500.24</v>
      </c>
    </row>
    <row r="34" spans="1:15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  <c r="O34" s="4">
        <f>Orders_Cleaned[[#This Row],[Quantity]]*Orders_Cleaned[[#This Row],[UnitPrice]]</f>
        <v>2683.6000000000004</v>
      </c>
    </row>
    <row r="35" spans="1:15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  <c r="O35" s="4">
        <f>Orders_Cleaned[[#This Row],[Quantity]]*Orders_Cleaned[[#This Row],[UnitPrice]]</f>
        <v>162.77000000000001</v>
      </c>
    </row>
    <row r="36" spans="1:15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  <c r="O36" s="4">
        <f>Orders_Cleaned[[#This Row],[Quantity]]*Orders_Cleaned[[#This Row],[UnitPrice]]</f>
        <v>2306.08</v>
      </c>
    </row>
    <row r="37" spans="1:15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  <c r="O37" s="4">
        <f>Orders_Cleaned[[#This Row],[Quantity]]*Orders_Cleaned[[#This Row],[UnitPrice]]</f>
        <v>930.3</v>
      </c>
    </row>
    <row r="38" spans="1:15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  <c r="O38" s="4">
        <f>Orders_Cleaned[[#This Row],[Quantity]]*Orders_Cleaned[[#This Row],[UnitPrice]]</f>
        <v>1068.8599999999999</v>
      </c>
    </row>
    <row r="39" spans="1:15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  <c r="O39" s="4">
        <f>Orders_Cleaned[[#This Row],[Quantity]]*Orders_Cleaned[[#This Row],[UnitPrice]]</f>
        <v>153.47999999999999</v>
      </c>
    </row>
    <row r="40" spans="1:15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  <c r="O40" s="4">
        <f>Orders_Cleaned[[#This Row],[Quantity]]*Orders_Cleaned[[#This Row],[UnitPrice]]</f>
        <v>245.89</v>
      </c>
    </row>
    <row r="41" spans="1:15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  <c r="O41" s="4">
        <f>Orders_Cleaned[[#This Row],[Quantity]]*Orders_Cleaned[[#This Row],[UnitPrice]]</f>
        <v>769.37999999999988</v>
      </c>
    </row>
    <row r="42" spans="1:15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  <c r="O42" s="4">
        <f>Orders_Cleaned[[#This Row],[Quantity]]*Orders_Cleaned[[#This Row],[UnitPrice]]</f>
        <v>688.04</v>
      </c>
    </row>
    <row r="43" spans="1:15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  <c r="O43" s="4">
        <f>Orders_Cleaned[[#This Row],[Quantity]]*Orders_Cleaned[[#This Row],[UnitPrice]]</f>
        <v>1834.3500000000001</v>
      </c>
    </row>
    <row r="44" spans="1:15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  <c r="O44" s="4">
        <f>Orders_Cleaned[[#This Row],[Quantity]]*Orders_Cleaned[[#This Row],[UnitPrice]]</f>
        <v>303.32</v>
      </c>
    </row>
    <row r="45" spans="1:15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  <c r="O45" s="4">
        <f>Orders_Cleaned[[#This Row],[Quantity]]*Orders_Cleaned[[#This Row],[UnitPrice]]</f>
        <v>1497.6299999999999</v>
      </c>
    </row>
    <row r="46" spans="1:15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  <c r="O46" s="4">
        <f>Orders_Cleaned[[#This Row],[Quantity]]*Orders_Cleaned[[#This Row],[UnitPrice]]</f>
        <v>1100.3599999999999</v>
      </c>
    </row>
    <row r="47" spans="1:15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  <c r="O47" s="4">
        <f>Orders_Cleaned[[#This Row],[Quantity]]*Orders_Cleaned[[#This Row],[UnitPrice]]</f>
        <v>317.25</v>
      </c>
    </row>
    <row r="48" spans="1:15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  <c r="O48" s="4">
        <f>Orders_Cleaned[[#This Row],[Quantity]]*Orders_Cleaned[[#This Row],[UnitPrice]]</f>
        <v>2200.56</v>
      </c>
    </row>
    <row r="49" spans="1:15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  <c r="O49" s="4">
        <f>Orders_Cleaned[[#This Row],[Quantity]]*Orders_Cleaned[[#This Row],[UnitPrice]]</f>
        <v>419.88</v>
      </c>
    </row>
    <row r="50" spans="1:15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  <c r="O50" s="4">
        <f>Orders_Cleaned[[#This Row],[Quantity]]*Orders_Cleaned[[#This Row],[UnitPrice]]</f>
        <v>161.54</v>
      </c>
    </row>
    <row r="51" spans="1:15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  <c r="O51" s="4">
        <f>Orders_Cleaned[[#This Row],[Quantity]]*Orders_Cleaned[[#This Row],[UnitPrice]]</f>
        <v>30.44</v>
      </c>
    </row>
    <row r="52" spans="1:15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  <c r="O52" s="4">
        <f>Orders_Cleaned[[#This Row],[Quantity]]*Orders_Cleaned[[#This Row],[UnitPrice]]</f>
        <v>179.22</v>
      </c>
    </row>
    <row r="53" spans="1:15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  <c r="O53" s="4">
        <f>Orders_Cleaned[[#This Row],[Quantity]]*Orders_Cleaned[[#This Row],[UnitPrice]]</f>
        <v>388.33</v>
      </c>
    </row>
    <row r="54" spans="1:15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  <c r="O54" s="4">
        <f>Orders_Cleaned[[#This Row],[Quantity]]*Orders_Cleaned[[#This Row],[UnitPrice]]</f>
        <v>586.44000000000005</v>
      </c>
    </row>
    <row r="55" spans="1:15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  <c r="O55" s="4">
        <f>Orders_Cleaned[[#This Row],[Quantity]]*Orders_Cleaned[[#This Row],[UnitPrice]]</f>
        <v>1955.12</v>
      </c>
    </row>
    <row r="56" spans="1:15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  <c r="O56" s="4">
        <f>Orders_Cleaned[[#This Row],[Quantity]]*Orders_Cleaned[[#This Row],[UnitPrice]]</f>
        <v>280.25</v>
      </c>
    </row>
    <row r="57" spans="1:15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  <c r="O57" s="4">
        <f>Orders_Cleaned[[#This Row],[Quantity]]*Orders_Cleaned[[#This Row],[UnitPrice]]</f>
        <v>1033.1999999999998</v>
      </c>
    </row>
    <row r="58" spans="1:15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  <c r="O58" s="4">
        <f>Orders_Cleaned[[#This Row],[Quantity]]*Orders_Cleaned[[#This Row],[UnitPrice]]</f>
        <v>1437.6299999999999</v>
      </c>
    </row>
    <row r="59" spans="1:15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  <c r="O59" s="4">
        <f>Orders_Cleaned[[#This Row],[Quantity]]*Orders_Cleaned[[#This Row],[UnitPrice]]</f>
        <v>1571.35</v>
      </c>
    </row>
    <row r="60" spans="1:15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  <c r="O60" s="4">
        <f>Orders_Cleaned[[#This Row],[Quantity]]*Orders_Cleaned[[#This Row],[UnitPrice]]</f>
        <v>1898.76</v>
      </c>
    </row>
    <row r="61" spans="1:15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  <c r="O61" s="4">
        <f>Orders_Cleaned[[#This Row],[Quantity]]*Orders_Cleaned[[#This Row],[UnitPrice]]</f>
        <v>2373.08</v>
      </c>
    </row>
    <row r="62" spans="1:15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  <c r="O62" s="4">
        <f>Orders_Cleaned[[#This Row],[Quantity]]*Orders_Cleaned[[#This Row],[UnitPrice]]</f>
        <v>417.1</v>
      </c>
    </row>
    <row r="63" spans="1:15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  <c r="O63" s="4">
        <f>Orders_Cleaned[[#This Row],[Quantity]]*Orders_Cleaned[[#This Row],[UnitPrice]]</f>
        <v>488.8</v>
      </c>
    </row>
    <row r="64" spans="1:15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  <c r="O64" s="4">
        <f>Orders_Cleaned[[#This Row],[Quantity]]*Orders_Cleaned[[#This Row],[UnitPrice]]</f>
        <v>86.3</v>
      </c>
    </row>
    <row r="65" spans="1:15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  <c r="O65" s="4">
        <f>Orders_Cleaned[[#This Row],[Quantity]]*Orders_Cleaned[[#This Row],[UnitPrice]]</f>
        <v>564.86</v>
      </c>
    </row>
    <row r="66" spans="1:15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  <c r="O66" s="4">
        <f>Orders_Cleaned[[#This Row],[Quantity]]*Orders_Cleaned[[#This Row],[UnitPrice]]</f>
        <v>391.83000000000004</v>
      </c>
    </row>
    <row r="67" spans="1:15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  <c r="O67" s="4">
        <f>Orders_Cleaned[[#This Row],[Quantity]]*Orders_Cleaned[[#This Row],[UnitPrice]]</f>
        <v>408.5</v>
      </c>
    </row>
    <row r="68" spans="1:15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  <c r="O68" s="4">
        <f>Orders_Cleaned[[#This Row],[Quantity]]*Orders_Cleaned[[#This Row],[UnitPrice]]</f>
        <v>635.90000000000009</v>
      </c>
    </row>
    <row r="69" spans="1:15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  <c r="O69" s="4">
        <f>Orders_Cleaned[[#This Row],[Quantity]]*Orders_Cleaned[[#This Row],[UnitPrice]]</f>
        <v>48.4</v>
      </c>
    </row>
    <row r="70" spans="1:15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  <c r="O70" s="4">
        <f>Orders_Cleaned[[#This Row],[Quantity]]*Orders_Cleaned[[#This Row],[UnitPrice]]</f>
        <v>1472.76</v>
      </c>
    </row>
    <row r="71" spans="1:15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  <c r="O71" s="4">
        <f>Orders_Cleaned[[#This Row],[Quantity]]*Orders_Cleaned[[#This Row],[UnitPrice]]</f>
        <v>1435.9499999999998</v>
      </c>
    </row>
    <row r="72" spans="1:15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  <c r="O72" s="4">
        <f>Orders_Cleaned[[#This Row],[Quantity]]*Orders_Cleaned[[#This Row],[UnitPrice]]</f>
        <v>629.21</v>
      </c>
    </row>
    <row r="73" spans="1:15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  <c r="O73" s="4">
        <f>Orders_Cleaned[[#This Row],[Quantity]]*Orders_Cleaned[[#This Row],[UnitPrice]]</f>
        <v>1303.3499999999999</v>
      </c>
    </row>
    <row r="74" spans="1:15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  <c r="O74" s="4">
        <f>Orders_Cleaned[[#This Row],[Quantity]]*Orders_Cleaned[[#This Row],[UnitPrice]]</f>
        <v>2357.7600000000002</v>
      </c>
    </row>
    <row r="75" spans="1:15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  <c r="O75" s="4">
        <f>Orders_Cleaned[[#This Row],[Quantity]]*Orders_Cleaned[[#This Row],[UnitPrice]]</f>
        <v>1733.8</v>
      </c>
    </row>
    <row r="76" spans="1:15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  <c r="O76" s="4">
        <f>Orders_Cleaned[[#This Row],[Quantity]]*Orders_Cleaned[[#This Row],[UnitPrice]]</f>
        <v>454.35</v>
      </c>
    </row>
    <row r="77" spans="1:15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  <c r="O77" s="4">
        <f>Orders_Cleaned[[#This Row],[Quantity]]*Orders_Cleaned[[#This Row],[UnitPrice]]</f>
        <v>1194.51</v>
      </c>
    </row>
    <row r="78" spans="1:15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  <c r="O78" s="4">
        <f>Orders_Cleaned[[#This Row],[Quantity]]*Orders_Cleaned[[#This Row],[UnitPrice]]</f>
        <v>1531.52</v>
      </c>
    </row>
    <row r="79" spans="1:15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  <c r="O79" s="4">
        <f>Orders_Cleaned[[#This Row],[Quantity]]*Orders_Cleaned[[#This Row],[UnitPrice]]</f>
        <v>583.17999999999995</v>
      </c>
    </row>
    <row r="80" spans="1:15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  <c r="O80" s="4">
        <f>Orders_Cleaned[[#This Row],[Quantity]]*Orders_Cleaned[[#This Row],[UnitPrice]]</f>
        <v>701.44</v>
      </c>
    </row>
    <row r="81" spans="1:15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  <c r="O81" s="4">
        <f>Orders_Cleaned[[#This Row],[Quantity]]*Orders_Cleaned[[#This Row],[UnitPrice]]</f>
        <v>623.82000000000005</v>
      </c>
    </row>
    <row r="82" spans="1:15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  <c r="O82" s="4">
        <f>Orders_Cleaned[[#This Row],[Quantity]]*Orders_Cleaned[[#This Row],[UnitPrice]]</f>
        <v>1768.6799999999998</v>
      </c>
    </row>
    <row r="83" spans="1:15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  <c r="O83" s="4">
        <f>Orders_Cleaned[[#This Row],[Quantity]]*Orders_Cleaned[[#This Row],[UnitPrice]]</f>
        <v>788.6</v>
      </c>
    </row>
    <row r="84" spans="1:15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  <c r="O84" s="4">
        <f>Orders_Cleaned[[#This Row],[Quantity]]*Orders_Cleaned[[#This Row],[UnitPrice]]</f>
        <v>2260.8000000000002</v>
      </c>
    </row>
    <row r="85" spans="1:15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  <c r="O85" s="4">
        <f>Orders_Cleaned[[#This Row],[Quantity]]*Orders_Cleaned[[#This Row],[UnitPrice]]</f>
        <v>2161.64</v>
      </c>
    </row>
    <row r="86" spans="1:15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  <c r="O86" s="4">
        <f>Orders_Cleaned[[#This Row],[Quantity]]*Orders_Cleaned[[#This Row],[UnitPrice]]</f>
        <v>330.98</v>
      </c>
    </row>
    <row r="87" spans="1:15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  <c r="O87" s="4">
        <f>Orders_Cleaned[[#This Row],[Quantity]]*Orders_Cleaned[[#This Row],[UnitPrice]]</f>
        <v>440.18999999999994</v>
      </c>
    </row>
    <row r="88" spans="1:15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  <c r="O88" s="4">
        <f>Orders_Cleaned[[#This Row],[Quantity]]*Orders_Cleaned[[#This Row],[UnitPrice]]</f>
        <v>3215.1499999999996</v>
      </c>
    </row>
    <row r="89" spans="1:15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  <c r="O89" s="4">
        <f>Orders_Cleaned[[#This Row],[Quantity]]*Orders_Cleaned[[#This Row],[UnitPrice]]</f>
        <v>675.33</v>
      </c>
    </row>
    <row r="90" spans="1:15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  <c r="O90" s="4">
        <f>Orders_Cleaned[[#This Row],[Quantity]]*Orders_Cleaned[[#This Row],[UnitPrice]]</f>
        <v>344.43</v>
      </c>
    </row>
    <row r="91" spans="1:15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  <c r="O91" s="4">
        <f>Orders_Cleaned[[#This Row],[Quantity]]*Orders_Cleaned[[#This Row],[UnitPrice]]</f>
        <v>2276.65</v>
      </c>
    </row>
    <row r="92" spans="1:15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  <c r="O92" s="4">
        <f>Orders_Cleaned[[#This Row],[Quantity]]*Orders_Cleaned[[#This Row],[UnitPrice]]</f>
        <v>728.32</v>
      </c>
    </row>
    <row r="93" spans="1:15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  <c r="O93" s="4">
        <f>Orders_Cleaned[[#This Row],[Quantity]]*Orders_Cleaned[[#This Row],[UnitPrice]]</f>
        <v>2463.75</v>
      </c>
    </row>
    <row r="94" spans="1:15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  <c r="O94" s="4">
        <f>Orders_Cleaned[[#This Row],[Quantity]]*Orders_Cleaned[[#This Row],[UnitPrice]]</f>
        <v>194.44</v>
      </c>
    </row>
    <row r="95" spans="1:15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  <c r="O95" s="4">
        <f>Orders_Cleaned[[#This Row],[Quantity]]*Orders_Cleaned[[#This Row],[UnitPrice]]</f>
        <v>1724.04</v>
      </c>
    </row>
    <row r="96" spans="1:15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  <c r="O96" s="4">
        <f>Orders_Cleaned[[#This Row],[Quantity]]*Orders_Cleaned[[#This Row],[UnitPrice]]</f>
        <v>531.17999999999995</v>
      </c>
    </row>
    <row r="97" spans="1:15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  <c r="O97" s="4">
        <f>Orders_Cleaned[[#This Row],[Quantity]]*Orders_Cleaned[[#This Row],[UnitPrice]]</f>
        <v>470.04</v>
      </c>
    </row>
    <row r="98" spans="1:15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  <c r="O98" s="4">
        <f>Orders_Cleaned[[#This Row],[Quantity]]*Orders_Cleaned[[#This Row],[UnitPrice]]</f>
        <v>465.66</v>
      </c>
    </row>
    <row r="99" spans="1:15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  <c r="O99" s="4">
        <f>Orders_Cleaned[[#This Row],[Quantity]]*Orders_Cleaned[[#This Row],[UnitPrice]]</f>
        <v>3097.6</v>
      </c>
    </row>
    <row r="100" spans="1:15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  <c r="O100" s="4">
        <f>Orders_Cleaned[[#This Row],[Quantity]]*Orders_Cleaned[[#This Row],[UnitPrice]]</f>
        <v>457.08</v>
      </c>
    </row>
    <row r="101" spans="1:15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  <c r="O101" s="4">
        <f>Orders_Cleaned[[#This Row],[Quantity]]*Orders_Cleaned[[#This Row],[UnitPrice]]</f>
        <v>201.58</v>
      </c>
    </row>
    <row r="102" spans="1:15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  <c r="O102" s="4">
        <f>Orders_Cleaned[[#This Row],[Quantity]]*Orders_Cleaned[[#This Row],[UnitPrice]]</f>
        <v>1994.37</v>
      </c>
    </row>
    <row r="103" spans="1:15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  <c r="O103" s="4">
        <f>Orders_Cleaned[[#This Row],[Quantity]]*Orders_Cleaned[[#This Row],[UnitPrice]]</f>
        <v>381.02</v>
      </c>
    </row>
    <row r="104" spans="1:15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  <c r="O104" s="4">
        <f>Orders_Cleaned[[#This Row],[Quantity]]*Orders_Cleaned[[#This Row],[UnitPrice]]</f>
        <v>140.68</v>
      </c>
    </row>
    <row r="105" spans="1:15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  <c r="O105" s="4">
        <f>Orders_Cleaned[[#This Row],[Quantity]]*Orders_Cleaned[[#This Row],[UnitPrice]]</f>
        <v>873.72</v>
      </c>
    </row>
    <row r="106" spans="1:15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  <c r="O106" s="4">
        <f>Orders_Cleaned[[#This Row],[Quantity]]*Orders_Cleaned[[#This Row],[UnitPrice]]</f>
        <v>582.04</v>
      </c>
    </row>
    <row r="107" spans="1:15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  <c r="O107" s="4">
        <f>Orders_Cleaned[[#This Row],[Quantity]]*Orders_Cleaned[[#This Row],[UnitPrice]]</f>
        <v>556.20000000000005</v>
      </c>
    </row>
    <row r="108" spans="1:15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  <c r="O108" s="4">
        <f>Orders_Cleaned[[#This Row],[Quantity]]*Orders_Cleaned[[#This Row],[UnitPrice]]</f>
        <v>1395.15</v>
      </c>
    </row>
    <row r="109" spans="1:15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  <c r="O109" s="4">
        <f>Orders_Cleaned[[#This Row],[Quantity]]*Orders_Cleaned[[#This Row],[UnitPrice]]</f>
        <v>3353.75</v>
      </c>
    </row>
    <row r="110" spans="1:15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  <c r="O110" s="4">
        <f>Orders_Cleaned[[#This Row],[Quantity]]*Orders_Cleaned[[#This Row],[UnitPrice]]</f>
        <v>241.9</v>
      </c>
    </row>
    <row r="111" spans="1:15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  <c r="O111" s="4">
        <f>Orders_Cleaned[[#This Row],[Quantity]]*Orders_Cleaned[[#This Row],[UnitPrice]]</f>
        <v>1778.6100000000001</v>
      </c>
    </row>
    <row r="112" spans="1:15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  <c r="O112" s="4">
        <f>Orders_Cleaned[[#This Row],[Quantity]]*Orders_Cleaned[[#This Row],[UnitPrice]]</f>
        <v>220.77</v>
      </c>
    </row>
    <row r="113" spans="1:15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  <c r="O113" s="4">
        <f>Orders_Cleaned[[#This Row],[Quantity]]*Orders_Cleaned[[#This Row],[UnitPrice]]</f>
        <v>927.66000000000008</v>
      </c>
    </row>
    <row r="114" spans="1:15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  <c r="O114" s="4">
        <f>Orders_Cleaned[[#This Row],[Quantity]]*Orders_Cleaned[[#This Row],[UnitPrice]]</f>
        <v>410.6</v>
      </c>
    </row>
    <row r="115" spans="1:15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  <c r="O115" s="4">
        <f>Orders_Cleaned[[#This Row],[Quantity]]*Orders_Cleaned[[#This Row],[UnitPrice]]</f>
        <v>950.40000000000009</v>
      </c>
    </row>
    <row r="116" spans="1:15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  <c r="O116" s="4">
        <f>Orders_Cleaned[[#This Row],[Quantity]]*Orders_Cleaned[[#This Row],[UnitPrice]]</f>
        <v>2492.4</v>
      </c>
    </row>
    <row r="117" spans="1:15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  <c r="O117" s="4">
        <f>Orders_Cleaned[[#This Row],[Quantity]]*Orders_Cleaned[[#This Row],[UnitPrice]]</f>
        <v>1874.95</v>
      </c>
    </row>
    <row r="118" spans="1:15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  <c r="O118" s="4">
        <f>Orders_Cleaned[[#This Row],[Quantity]]*Orders_Cleaned[[#This Row],[UnitPrice]]</f>
        <v>1165.4000000000001</v>
      </c>
    </row>
    <row r="119" spans="1:15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  <c r="O119" s="4">
        <f>Orders_Cleaned[[#This Row],[Quantity]]*Orders_Cleaned[[#This Row],[UnitPrice]]</f>
        <v>535.5</v>
      </c>
    </row>
    <row r="120" spans="1:15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  <c r="O120" s="4">
        <f>Orders_Cleaned[[#This Row],[Quantity]]*Orders_Cleaned[[#This Row],[UnitPrice]]</f>
        <v>2513.5499999999997</v>
      </c>
    </row>
    <row r="121" spans="1:15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  <c r="O121" s="4">
        <f>Orders_Cleaned[[#This Row],[Quantity]]*Orders_Cleaned[[#This Row],[UnitPrice]]</f>
        <v>1069.3399999999999</v>
      </c>
    </row>
    <row r="122" spans="1:15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  <c r="O122" s="4">
        <f>Orders_Cleaned[[#This Row],[Quantity]]*Orders_Cleaned[[#This Row],[UnitPrice]]</f>
        <v>2517.36</v>
      </c>
    </row>
    <row r="123" spans="1:15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  <c r="O123" s="4">
        <f>Orders_Cleaned[[#This Row],[Quantity]]*Orders_Cleaned[[#This Row],[UnitPrice]]</f>
        <v>410.78</v>
      </c>
    </row>
    <row r="124" spans="1:15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  <c r="O124" s="4">
        <f>Orders_Cleaned[[#This Row],[Quantity]]*Orders_Cleaned[[#This Row],[UnitPrice]]</f>
        <v>1066.04</v>
      </c>
    </row>
    <row r="125" spans="1:15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  <c r="O125" s="4">
        <f>Orders_Cleaned[[#This Row],[Quantity]]*Orders_Cleaned[[#This Row],[UnitPrice]]</f>
        <v>834.12000000000012</v>
      </c>
    </row>
    <row r="126" spans="1:15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  <c r="O126" s="4">
        <f>Orders_Cleaned[[#This Row],[Quantity]]*Orders_Cleaned[[#This Row],[UnitPrice]]</f>
        <v>1135.1600000000001</v>
      </c>
    </row>
    <row r="127" spans="1:15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  <c r="O127" s="4">
        <f>Orders_Cleaned[[#This Row],[Quantity]]*Orders_Cleaned[[#This Row],[UnitPrice]]</f>
        <v>1025.3</v>
      </c>
    </row>
    <row r="128" spans="1:15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  <c r="O128" s="4">
        <f>Orders_Cleaned[[#This Row],[Quantity]]*Orders_Cleaned[[#This Row],[UnitPrice]]</f>
        <v>1102</v>
      </c>
    </row>
    <row r="129" spans="1:15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  <c r="O129" s="4">
        <f>Orders_Cleaned[[#This Row],[Quantity]]*Orders_Cleaned[[#This Row],[UnitPrice]]</f>
        <v>1407.96</v>
      </c>
    </row>
    <row r="130" spans="1:15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  <c r="O130" s="4">
        <f>Orders_Cleaned[[#This Row],[Quantity]]*Orders_Cleaned[[#This Row],[UnitPrice]]</f>
        <v>84.28</v>
      </c>
    </row>
    <row r="131" spans="1:15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  <c r="O131" s="4">
        <f>Orders_Cleaned[[#This Row],[Quantity]]*Orders_Cleaned[[#This Row],[UnitPrice]]</f>
        <v>1055.72</v>
      </c>
    </row>
    <row r="132" spans="1:15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  <c r="O132" s="4">
        <f>Orders_Cleaned[[#This Row],[Quantity]]*Orders_Cleaned[[#This Row],[UnitPrice]]</f>
        <v>1503.9</v>
      </c>
    </row>
    <row r="133" spans="1:15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  <c r="O133" s="4">
        <f>Orders_Cleaned[[#This Row],[Quantity]]*Orders_Cleaned[[#This Row],[UnitPrice]]</f>
        <v>84.8</v>
      </c>
    </row>
    <row r="134" spans="1:15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  <c r="O134" s="4">
        <f>Orders_Cleaned[[#This Row],[Quantity]]*Orders_Cleaned[[#This Row],[UnitPrice]]</f>
        <v>1803</v>
      </c>
    </row>
    <row r="135" spans="1:15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  <c r="O135" s="4">
        <f>Orders_Cleaned[[#This Row],[Quantity]]*Orders_Cleaned[[#This Row],[UnitPrice]]</f>
        <v>1208.2</v>
      </c>
    </row>
    <row r="136" spans="1:15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  <c r="O136" s="4">
        <f>Orders_Cleaned[[#This Row],[Quantity]]*Orders_Cleaned[[#This Row],[UnitPrice]]</f>
        <v>399.4</v>
      </c>
    </row>
    <row r="137" spans="1:15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  <c r="O137" s="4">
        <f>Orders_Cleaned[[#This Row],[Quantity]]*Orders_Cleaned[[#This Row],[UnitPrice]]</f>
        <v>137.62</v>
      </c>
    </row>
    <row r="138" spans="1:15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  <c r="O138" s="4">
        <f>Orders_Cleaned[[#This Row],[Quantity]]*Orders_Cleaned[[#This Row],[UnitPrice]]</f>
        <v>44.35</v>
      </c>
    </row>
    <row r="139" spans="1:15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  <c r="O139" s="4">
        <f>Orders_Cleaned[[#This Row],[Quantity]]*Orders_Cleaned[[#This Row],[UnitPrice]]</f>
        <v>501.96</v>
      </c>
    </row>
    <row r="140" spans="1:15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  <c r="O140" s="4">
        <f>Orders_Cleaned[[#This Row],[Quantity]]*Orders_Cleaned[[#This Row],[UnitPrice]]</f>
        <v>298.06</v>
      </c>
    </row>
    <row r="141" spans="1:15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  <c r="O141" s="4">
        <f>Orders_Cleaned[[#This Row],[Quantity]]*Orders_Cleaned[[#This Row],[UnitPrice]]</f>
        <v>583.9</v>
      </c>
    </row>
    <row r="142" spans="1:15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  <c r="O142" s="4">
        <f>Orders_Cleaned[[#This Row],[Quantity]]*Orders_Cleaned[[#This Row],[UnitPrice]]</f>
        <v>1584.42</v>
      </c>
    </row>
    <row r="143" spans="1:15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  <c r="O143" s="4">
        <f>Orders_Cleaned[[#This Row],[Quantity]]*Orders_Cleaned[[#This Row],[UnitPrice]]</f>
        <v>2052.42</v>
      </c>
    </row>
    <row r="144" spans="1:15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  <c r="O144" s="4">
        <f>Orders_Cleaned[[#This Row],[Quantity]]*Orders_Cleaned[[#This Row],[UnitPrice]]</f>
        <v>1363.85</v>
      </c>
    </row>
    <row r="145" spans="1:15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  <c r="O145" s="4">
        <f>Orders_Cleaned[[#This Row],[Quantity]]*Orders_Cleaned[[#This Row],[UnitPrice]]</f>
        <v>1600.28</v>
      </c>
    </row>
    <row r="146" spans="1:15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  <c r="O146" s="4">
        <f>Orders_Cleaned[[#This Row],[Quantity]]*Orders_Cleaned[[#This Row],[UnitPrice]]</f>
        <v>1098.9000000000001</v>
      </c>
    </row>
    <row r="147" spans="1:15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  <c r="O147" s="4">
        <f>Orders_Cleaned[[#This Row],[Quantity]]*Orders_Cleaned[[#This Row],[UnitPrice]]</f>
        <v>440.73</v>
      </c>
    </row>
    <row r="148" spans="1:15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  <c r="O148" s="4">
        <f>Orders_Cleaned[[#This Row],[Quantity]]*Orders_Cleaned[[#This Row],[UnitPrice]]</f>
        <v>822.98</v>
      </c>
    </row>
    <row r="149" spans="1:15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  <c r="O149" s="4">
        <f>Orders_Cleaned[[#This Row],[Quantity]]*Orders_Cleaned[[#This Row],[UnitPrice]]</f>
        <v>930.36</v>
      </c>
    </row>
    <row r="150" spans="1:15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  <c r="O150" s="4">
        <f>Orders_Cleaned[[#This Row],[Quantity]]*Orders_Cleaned[[#This Row],[UnitPrice]]</f>
        <v>639.82000000000005</v>
      </c>
    </row>
    <row r="151" spans="1:15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  <c r="O151" s="4">
        <f>Orders_Cleaned[[#This Row],[Quantity]]*Orders_Cleaned[[#This Row],[UnitPrice]]</f>
        <v>217.56</v>
      </c>
    </row>
    <row r="152" spans="1:15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  <c r="O152" s="4">
        <f>Orders_Cleaned[[#This Row],[Quantity]]*Orders_Cleaned[[#This Row],[UnitPrice]]</f>
        <v>211.14</v>
      </c>
    </row>
    <row r="153" spans="1:15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  <c r="O153" s="4">
        <f>Orders_Cleaned[[#This Row],[Quantity]]*Orders_Cleaned[[#This Row],[UnitPrice]]</f>
        <v>2223.8000000000002</v>
      </c>
    </row>
    <row r="154" spans="1:15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  <c r="O154" s="4">
        <f>Orders_Cleaned[[#This Row],[Quantity]]*Orders_Cleaned[[#This Row],[UnitPrice]]</f>
        <v>798.08</v>
      </c>
    </row>
    <row r="155" spans="1:15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  <c r="O155" s="4">
        <f>Orders_Cleaned[[#This Row],[Quantity]]*Orders_Cleaned[[#This Row],[UnitPrice]]</f>
        <v>2137.92</v>
      </c>
    </row>
    <row r="156" spans="1:15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  <c r="O156" s="4">
        <f>Orders_Cleaned[[#This Row],[Quantity]]*Orders_Cleaned[[#This Row],[UnitPrice]]</f>
        <v>1632.84</v>
      </c>
    </row>
    <row r="157" spans="1:15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  <c r="O157" s="4">
        <f>Orders_Cleaned[[#This Row],[Quantity]]*Orders_Cleaned[[#This Row],[UnitPrice]]</f>
        <v>424.4</v>
      </c>
    </row>
    <row r="158" spans="1:15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  <c r="O158" s="4">
        <f>Orders_Cleaned[[#This Row],[Quantity]]*Orders_Cleaned[[#This Row],[UnitPrice]]</f>
        <v>539.66</v>
      </c>
    </row>
    <row r="159" spans="1:15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  <c r="O159" s="4">
        <f>Orders_Cleaned[[#This Row],[Quantity]]*Orders_Cleaned[[#This Row],[UnitPrice]]</f>
        <v>1129.1600000000001</v>
      </c>
    </row>
    <row r="160" spans="1:15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  <c r="O160" s="4">
        <f>Orders_Cleaned[[#This Row],[Quantity]]*Orders_Cleaned[[#This Row],[UnitPrice]]</f>
        <v>331.06</v>
      </c>
    </row>
    <row r="161" spans="1:15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  <c r="O161" s="4">
        <f>Orders_Cleaned[[#This Row],[Quantity]]*Orders_Cleaned[[#This Row],[UnitPrice]]</f>
        <v>299.35000000000002</v>
      </c>
    </row>
    <row r="162" spans="1:15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  <c r="O162" s="4">
        <f>Orders_Cleaned[[#This Row],[Quantity]]*Orders_Cleaned[[#This Row],[UnitPrice]]</f>
        <v>405.28</v>
      </c>
    </row>
    <row r="163" spans="1:15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  <c r="O163" s="4">
        <f>Orders_Cleaned[[#This Row],[Quantity]]*Orders_Cleaned[[#This Row],[UnitPrice]]</f>
        <v>211.14</v>
      </c>
    </row>
    <row r="164" spans="1:15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  <c r="O164" s="4">
        <f>Orders_Cleaned[[#This Row],[Quantity]]*Orders_Cleaned[[#This Row],[UnitPrice]]</f>
        <v>197.57999999999998</v>
      </c>
    </row>
    <row r="165" spans="1:15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  <c r="O165" s="4">
        <f>Orders_Cleaned[[#This Row],[Quantity]]*Orders_Cleaned[[#This Row],[UnitPrice]]</f>
        <v>641.39</v>
      </c>
    </row>
    <row r="166" spans="1:15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  <c r="O166" s="4">
        <f>Orders_Cleaned[[#This Row],[Quantity]]*Orders_Cleaned[[#This Row],[UnitPrice]]</f>
        <v>2682.9</v>
      </c>
    </row>
    <row r="167" spans="1:15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  <c r="O167" s="4">
        <f>Orders_Cleaned[[#This Row],[Quantity]]*Orders_Cleaned[[#This Row],[UnitPrice]]</f>
        <v>1000.58</v>
      </c>
    </row>
    <row r="168" spans="1:15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  <c r="O168" s="4">
        <f>Orders_Cleaned[[#This Row],[Quantity]]*Orders_Cleaned[[#This Row],[UnitPrice]]</f>
        <v>258.87</v>
      </c>
    </row>
    <row r="169" spans="1:15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  <c r="O169" s="4">
        <f>Orders_Cleaned[[#This Row],[Quantity]]*Orders_Cleaned[[#This Row],[UnitPrice]]</f>
        <v>768.28</v>
      </c>
    </row>
    <row r="170" spans="1:15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  <c r="O170" s="4">
        <f>Orders_Cleaned[[#This Row],[Quantity]]*Orders_Cleaned[[#This Row],[UnitPrice]]</f>
        <v>594.96</v>
      </c>
    </row>
    <row r="171" spans="1:15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  <c r="O171" s="4">
        <f>Orders_Cleaned[[#This Row],[Quantity]]*Orders_Cleaned[[#This Row],[UnitPrice]]</f>
        <v>427.82</v>
      </c>
    </row>
    <row r="172" spans="1:15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  <c r="O172" s="4">
        <f>Orders_Cleaned[[#This Row],[Quantity]]*Orders_Cleaned[[#This Row],[UnitPrice]]</f>
        <v>2651.76</v>
      </c>
    </row>
    <row r="173" spans="1:15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  <c r="O173" s="4">
        <f>Orders_Cleaned[[#This Row],[Quantity]]*Orders_Cleaned[[#This Row],[UnitPrice]]</f>
        <v>296.44</v>
      </c>
    </row>
    <row r="174" spans="1:15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  <c r="O174" s="4">
        <f>Orders_Cleaned[[#This Row],[Quantity]]*Orders_Cleaned[[#This Row],[UnitPrice]]</f>
        <v>254.12</v>
      </c>
    </row>
    <row r="175" spans="1:15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  <c r="O175" s="4">
        <f>Orders_Cleaned[[#This Row],[Quantity]]*Orders_Cleaned[[#This Row],[UnitPrice]]</f>
        <v>1993.38</v>
      </c>
    </row>
    <row r="176" spans="1:15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  <c r="O176" s="4">
        <f>Orders_Cleaned[[#This Row],[Quantity]]*Orders_Cleaned[[#This Row],[UnitPrice]]</f>
        <v>2403.2399999999998</v>
      </c>
    </row>
    <row r="177" spans="1:15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  <c r="O177" s="4">
        <f>Orders_Cleaned[[#This Row],[Quantity]]*Orders_Cleaned[[#This Row],[UnitPrice]]</f>
        <v>341.70000000000005</v>
      </c>
    </row>
    <row r="178" spans="1:15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  <c r="O178" s="4">
        <f>Orders_Cleaned[[#This Row],[Quantity]]*Orders_Cleaned[[#This Row],[UnitPrice]]</f>
        <v>1723.32</v>
      </c>
    </row>
    <row r="179" spans="1:15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  <c r="O179" s="4">
        <f>Orders_Cleaned[[#This Row],[Quantity]]*Orders_Cleaned[[#This Row],[UnitPrice]]</f>
        <v>2158.4499999999998</v>
      </c>
    </row>
    <row r="180" spans="1:15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  <c r="O180" s="4">
        <f>Orders_Cleaned[[#This Row],[Quantity]]*Orders_Cleaned[[#This Row],[UnitPrice]]</f>
        <v>2048.2399999999998</v>
      </c>
    </row>
    <row r="181" spans="1:15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  <c r="O181" s="4">
        <f>Orders_Cleaned[[#This Row],[Quantity]]*Orders_Cleaned[[#This Row],[UnitPrice]]</f>
        <v>1619.73</v>
      </c>
    </row>
    <row r="182" spans="1:15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  <c r="O182" s="4">
        <f>Orders_Cleaned[[#This Row],[Quantity]]*Orders_Cleaned[[#This Row],[UnitPrice]]</f>
        <v>1580.35</v>
      </c>
    </row>
    <row r="183" spans="1:15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  <c r="O183" s="4">
        <f>Orders_Cleaned[[#This Row],[Quantity]]*Orders_Cleaned[[#This Row],[UnitPrice]]</f>
        <v>2021.9499999999998</v>
      </c>
    </row>
    <row r="184" spans="1:15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  <c r="O184" s="4">
        <f>Orders_Cleaned[[#This Row],[Quantity]]*Orders_Cleaned[[#This Row],[UnitPrice]]</f>
        <v>600.54</v>
      </c>
    </row>
    <row r="185" spans="1:15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  <c r="O185" s="4">
        <f>Orders_Cleaned[[#This Row],[Quantity]]*Orders_Cleaned[[#This Row],[UnitPrice]]</f>
        <v>931.4</v>
      </c>
    </row>
    <row r="186" spans="1:15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  <c r="O186" s="4">
        <f>Orders_Cleaned[[#This Row],[Quantity]]*Orders_Cleaned[[#This Row],[UnitPrice]]</f>
        <v>858.16</v>
      </c>
    </row>
    <row r="187" spans="1:15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  <c r="O187" s="4">
        <f>Orders_Cleaned[[#This Row],[Quantity]]*Orders_Cleaned[[#This Row],[UnitPrice]]</f>
        <v>210.7</v>
      </c>
    </row>
    <row r="188" spans="1:15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  <c r="O188" s="4">
        <f>Orders_Cleaned[[#This Row],[Quantity]]*Orders_Cleaned[[#This Row],[UnitPrice]]</f>
        <v>267.10000000000002</v>
      </c>
    </row>
    <row r="189" spans="1:15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  <c r="O189" s="4">
        <f>Orders_Cleaned[[#This Row],[Quantity]]*Orders_Cleaned[[#This Row],[UnitPrice]]</f>
        <v>590.87</v>
      </c>
    </row>
    <row r="190" spans="1:15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  <c r="O190" s="4">
        <f>Orders_Cleaned[[#This Row],[Quantity]]*Orders_Cleaned[[#This Row],[UnitPrice]]</f>
        <v>727.82</v>
      </c>
    </row>
    <row r="191" spans="1:15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  <c r="O191" s="4">
        <f>Orders_Cleaned[[#This Row],[Quantity]]*Orders_Cleaned[[#This Row],[UnitPrice]]</f>
        <v>2147.25</v>
      </c>
    </row>
    <row r="192" spans="1:15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  <c r="O192" s="4">
        <f>Orders_Cleaned[[#This Row],[Quantity]]*Orders_Cleaned[[#This Row],[UnitPrice]]</f>
        <v>671.09999999999991</v>
      </c>
    </row>
    <row r="193" spans="1:15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  <c r="O193" s="4">
        <f>Orders_Cleaned[[#This Row],[Quantity]]*Orders_Cleaned[[#This Row],[UnitPrice]]</f>
        <v>977.74</v>
      </c>
    </row>
    <row r="194" spans="1:15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  <c r="O194" s="4">
        <f>Orders_Cleaned[[#This Row],[Quantity]]*Orders_Cleaned[[#This Row],[UnitPrice]]</f>
        <v>645.46</v>
      </c>
    </row>
    <row r="195" spans="1:15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  <c r="O195" s="4">
        <f>Orders_Cleaned[[#This Row],[Quantity]]*Orders_Cleaned[[#This Row],[UnitPrice]]</f>
        <v>46.66</v>
      </c>
    </row>
    <row r="196" spans="1:15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  <c r="O196" s="4">
        <f>Orders_Cleaned[[#This Row],[Quantity]]*Orders_Cleaned[[#This Row],[UnitPrice]]</f>
        <v>249.57</v>
      </c>
    </row>
    <row r="197" spans="1:15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  <c r="O197" s="4">
        <f>Orders_Cleaned[[#This Row],[Quantity]]*Orders_Cleaned[[#This Row],[UnitPrice]]</f>
        <v>1857.63</v>
      </c>
    </row>
    <row r="198" spans="1:15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  <c r="O198" s="4">
        <f>Orders_Cleaned[[#This Row],[Quantity]]*Orders_Cleaned[[#This Row],[UnitPrice]]</f>
        <v>868.52</v>
      </c>
    </row>
    <row r="199" spans="1:15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  <c r="O199" s="4">
        <f>Orders_Cleaned[[#This Row],[Quantity]]*Orders_Cleaned[[#This Row],[UnitPrice]]</f>
        <v>1107.55</v>
      </c>
    </row>
    <row r="200" spans="1:15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  <c r="O200" s="4">
        <f>Orders_Cleaned[[#This Row],[Quantity]]*Orders_Cleaned[[#This Row],[UnitPrice]]</f>
        <v>1361.2</v>
      </c>
    </row>
    <row r="201" spans="1:15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  <c r="O201" s="4">
        <f>Orders_Cleaned[[#This Row],[Quantity]]*Orders_Cleaned[[#This Row],[UnitPrice]]</f>
        <v>625</v>
      </c>
    </row>
    <row r="202" spans="1:15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  <c r="O202" s="4">
        <f>Orders_Cleaned[[#This Row],[Quantity]]*Orders_Cleaned[[#This Row],[UnitPrice]]</f>
        <v>2166.3000000000002</v>
      </c>
    </row>
    <row r="203" spans="1:15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  <c r="O203" s="4">
        <f>Orders_Cleaned[[#This Row],[Quantity]]*Orders_Cleaned[[#This Row],[UnitPrice]]</f>
        <v>1349.8</v>
      </c>
    </row>
    <row r="204" spans="1:15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  <c r="O204" s="4">
        <f>Orders_Cleaned[[#This Row],[Quantity]]*Orders_Cleaned[[#This Row],[UnitPrice]]</f>
        <v>761.93999999999994</v>
      </c>
    </row>
    <row r="205" spans="1:15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  <c r="O205" s="4">
        <f>Orders_Cleaned[[#This Row],[Quantity]]*Orders_Cleaned[[#This Row],[UnitPrice]]</f>
        <v>1070.52</v>
      </c>
    </row>
    <row r="206" spans="1:15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  <c r="O206" s="4">
        <f>Orders_Cleaned[[#This Row],[Quantity]]*Orders_Cleaned[[#This Row],[UnitPrice]]</f>
        <v>1654.84</v>
      </c>
    </row>
    <row r="207" spans="1:15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  <c r="O207" s="4">
        <f>Orders_Cleaned[[#This Row],[Quantity]]*Orders_Cleaned[[#This Row],[UnitPrice]]</f>
        <v>442.16999999999996</v>
      </c>
    </row>
    <row r="208" spans="1:15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  <c r="O208" s="4">
        <f>Orders_Cleaned[[#This Row],[Quantity]]*Orders_Cleaned[[#This Row],[UnitPrice]]</f>
        <v>916.4</v>
      </c>
    </row>
    <row r="209" spans="1:15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  <c r="O209" s="4">
        <f>Orders_Cleaned[[#This Row],[Quantity]]*Orders_Cleaned[[#This Row],[UnitPrice]]</f>
        <v>121.96</v>
      </c>
    </row>
    <row r="210" spans="1:15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  <c r="O210" s="4">
        <f>Orders_Cleaned[[#This Row],[Quantity]]*Orders_Cleaned[[#This Row],[UnitPrice]]</f>
        <v>816.64</v>
      </c>
    </row>
    <row r="211" spans="1:15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  <c r="O211" s="4">
        <f>Orders_Cleaned[[#This Row],[Quantity]]*Orders_Cleaned[[#This Row],[UnitPrice]]</f>
        <v>939.85</v>
      </c>
    </row>
    <row r="212" spans="1:15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  <c r="O212" s="4">
        <f>Orders_Cleaned[[#This Row],[Quantity]]*Orders_Cleaned[[#This Row],[UnitPrice]]</f>
        <v>1075.44</v>
      </c>
    </row>
    <row r="213" spans="1:15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  <c r="O213" s="4">
        <f>Orders_Cleaned[[#This Row],[Quantity]]*Orders_Cleaned[[#This Row],[UnitPrice]]</f>
        <v>580.74</v>
      </c>
    </row>
    <row r="214" spans="1:15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  <c r="O214" s="4">
        <f>Orders_Cleaned[[#This Row],[Quantity]]*Orders_Cleaned[[#This Row],[UnitPrice]]</f>
        <v>265.38</v>
      </c>
    </row>
    <row r="215" spans="1:15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  <c r="O215" s="4">
        <f>Orders_Cleaned[[#This Row],[Quantity]]*Orders_Cleaned[[#This Row],[UnitPrice]]</f>
        <v>634.4</v>
      </c>
    </row>
    <row r="216" spans="1:15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  <c r="O216" s="4">
        <f>Orders_Cleaned[[#This Row],[Quantity]]*Orders_Cleaned[[#This Row],[UnitPrice]]</f>
        <v>1222.8800000000001</v>
      </c>
    </row>
    <row r="217" spans="1:15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  <c r="O217" s="4">
        <f>Orders_Cleaned[[#This Row],[Quantity]]*Orders_Cleaned[[#This Row],[UnitPrice]]</f>
        <v>303.60000000000002</v>
      </c>
    </row>
    <row r="218" spans="1:15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  <c r="O218" s="4">
        <f>Orders_Cleaned[[#This Row],[Quantity]]*Orders_Cleaned[[#This Row],[UnitPrice]]</f>
        <v>1984</v>
      </c>
    </row>
    <row r="219" spans="1:15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  <c r="O219" s="4">
        <f>Orders_Cleaned[[#This Row],[Quantity]]*Orders_Cleaned[[#This Row],[UnitPrice]]</f>
        <v>1286.04</v>
      </c>
    </row>
    <row r="220" spans="1:15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  <c r="O220" s="4">
        <f>Orders_Cleaned[[#This Row],[Quantity]]*Orders_Cleaned[[#This Row],[UnitPrice]]</f>
        <v>337.38</v>
      </c>
    </row>
    <row r="221" spans="1:15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  <c r="O221" s="4">
        <f>Orders_Cleaned[[#This Row],[Quantity]]*Orders_Cleaned[[#This Row],[UnitPrice]]</f>
        <v>309.85000000000002</v>
      </c>
    </row>
    <row r="222" spans="1:15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  <c r="O222" s="4">
        <f>Orders_Cleaned[[#This Row],[Quantity]]*Orders_Cleaned[[#This Row],[UnitPrice]]</f>
        <v>746.34</v>
      </c>
    </row>
    <row r="223" spans="1:15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  <c r="O223" s="4">
        <f>Orders_Cleaned[[#This Row],[Quantity]]*Orders_Cleaned[[#This Row],[UnitPrice]]</f>
        <v>3196.85</v>
      </c>
    </row>
    <row r="224" spans="1:15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  <c r="O224" s="4">
        <f>Orders_Cleaned[[#This Row],[Quantity]]*Orders_Cleaned[[#This Row],[UnitPrice]]</f>
        <v>2773.44</v>
      </c>
    </row>
    <row r="225" spans="1:15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  <c r="O225" s="4">
        <f>Orders_Cleaned[[#This Row],[Quantity]]*Orders_Cleaned[[#This Row],[UnitPrice]]</f>
        <v>2771.64</v>
      </c>
    </row>
    <row r="226" spans="1:15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  <c r="O226" s="4">
        <f>Orders_Cleaned[[#This Row],[Quantity]]*Orders_Cleaned[[#This Row],[UnitPrice]]</f>
        <v>365.84</v>
      </c>
    </row>
    <row r="227" spans="1:15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  <c r="O227" s="4">
        <f>Orders_Cleaned[[#This Row],[Quantity]]*Orders_Cleaned[[#This Row],[UnitPrice]]</f>
        <v>821.87999999999988</v>
      </c>
    </row>
    <row r="228" spans="1:15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  <c r="O228" s="4">
        <f>Orders_Cleaned[[#This Row],[Quantity]]*Orders_Cleaned[[#This Row],[UnitPrice]]</f>
        <v>1764.1499999999999</v>
      </c>
    </row>
    <row r="229" spans="1:15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  <c r="O229" s="4">
        <f>Orders_Cleaned[[#This Row],[Quantity]]*Orders_Cleaned[[#This Row],[UnitPrice]]</f>
        <v>730.34</v>
      </c>
    </row>
    <row r="230" spans="1:15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  <c r="O230" s="4">
        <f>Orders_Cleaned[[#This Row],[Quantity]]*Orders_Cleaned[[#This Row],[UnitPrice]]</f>
        <v>1543.68</v>
      </c>
    </row>
    <row r="231" spans="1:15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  <c r="O231" s="4">
        <f>Orders_Cleaned[[#This Row],[Quantity]]*Orders_Cleaned[[#This Row],[UnitPrice]]</f>
        <v>562.61</v>
      </c>
    </row>
    <row r="232" spans="1:15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  <c r="O232" s="4">
        <f>Orders_Cleaned[[#This Row],[Quantity]]*Orders_Cleaned[[#This Row],[UnitPrice]]</f>
        <v>247.64</v>
      </c>
    </row>
    <row r="233" spans="1:15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  <c r="O233" s="4">
        <f>Orders_Cleaned[[#This Row],[Quantity]]*Orders_Cleaned[[#This Row],[UnitPrice]]</f>
        <v>167.6</v>
      </c>
    </row>
    <row r="234" spans="1:15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  <c r="O234" s="4">
        <f>Orders_Cleaned[[#This Row],[Quantity]]*Orders_Cleaned[[#This Row],[UnitPrice]]</f>
        <v>1777.76</v>
      </c>
    </row>
    <row r="235" spans="1:15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  <c r="O235" s="4">
        <f>Orders_Cleaned[[#This Row],[Quantity]]*Orders_Cleaned[[#This Row],[UnitPrice]]</f>
        <v>933.99</v>
      </c>
    </row>
    <row r="236" spans="1:15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  <c r="O236" s="4">
        <f>Orders_Cleaned[[#This Row],[Quantity]]*Orders_Cleaned[[#This Row],[UnitPrice]]</f>
        <v>945.64</v>
      </c>
    </row>
    <row r="237" spans="1:15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  <c r="O237" s="4">
        <f>Orders_Cleaned[[#This Row],[Quantity]]*Orders_Cleaned[[#This Row],[UnitPrice]]</f>
        <v>65.45</v>
      </c>
    </row>
    <row r="238" spans="1:15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  <c r="O238" s="4">
        <f>Orders_Cleaned[[#This Row],[Quantity]]*Orders_Cleaned[[#This Row],[UnitPrice]]</f>
        <v>318.81</v>
      </c>
    </row>
    <row r="239" spans="1:15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  <c r="O239" s="4">
        <f>Orders_Cleaned[[#This Row],[Quantity]]*Orders_Cleaned[[#This Row],[UnitPrice]]</f>
        <v>1751.16</v>
      </c>
    </row>
    <row r="240" spans="1:15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  <c r="O240" s="4">
        <f>Orders_Cleaned[[#This Row],[Quantity]]*Orders_Cleaned[[#This Row],[UnitPrice]]</f>
        <v>1537.28</v>
      </c>
    </row>
    <row r="241" spans="1:15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  <c r="O241" s="4">
        <f>Orders_Cleaned[[#This Row],[Quantity]]*Orders_Cleaned[[#This Row],[UnitPrice]]</f>
        <v>1616.22</v>
      </c>
    </row>
    <row r="242" spans="1:15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  <c r="O242" s="4">
        <f>Orders_Cleaned[[#This Row],[Quantity]]*Orders_Cleaned[[#This Row],[UnitPrice]]</f>
        <v>17.239999999999998</v>
      </c>
    </row>
    <row r="243" spans="1:15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  <c r="O243" s="4">
        <f>Orders_Cleaned[[#This Row],[Quantity]]*Orders_Cleaned[[#This Row],[UnitPrice]]</f>
        <v>3078.35</v>
      </c>
    </row>
    <row r="244" spans="1:15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  <c r="O244" s="4">
        <f>Orders_Cleaned[[#This Row],[Quantity]]*Orders_Cleaned[[#This Row],[UnitPrice]]</f>
        <v>438.2</v>
      </c>
    </row>
    <row r="245" spans="1:15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  <c r="O245" s="4">
        <f>Orders_Cleaned[[#This Row],[Quantity]]*Orders_Cleaned[[#This Row],[UnitPrice]]</f>
        <v>289.32</v>
      </c>
    </row>
    <row r="246" spans="1:15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  <c r="O246" s="4">
        <f>Orders_Cleaned[[#This Row],[Quantity]]*Orders_Cleaned[[#This Row],[UnitPrice]]</f>
        <v>635.54</v>
      </c>
    </row>
    <row r="247" spans="1:15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  <c r="O247" s="4">
        <f>Orders_Cleaned[[#This Row],[Quantity]]*Orders_Cleaned[[#This Row],[UnitPrice]]</f>
        <v>223.3</v>
      </c>
    </row>
    <row r="248" spans="1:15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  <c r="O248" s="4">
        <f>Orders_Cleaned[[#This Row],[Quantity]]*Orders_Cleaned[[#This Row],[UnitPrice]]</f>
        <v>684.22</v>
      </c>
    </row>
    <row r="249" spans="1:15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  <c r="O249" s="4">
        <f>Orders_Cleaned[[#This Row],[Quantity]]*Orders_Cleaned[[#This Row],[UnitPrice]]</f>
        <v>441.8</v>
      </c>
    </row>
    <row r="250" spans="1:15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  <c r="O250" s="4">
        <f>Orders_Cleaned[[#This Row],[Quantity]]*Orders_Cleaned[[#This Row],[UnitPrice]]</f>
        <v>670.54</v>
      </c>
    </row>
    <row r="251" spans="1:15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  <c r="O251" s="4">
        <f>Orders_Cleaned[[#This Row],[Quantity]]*Orders_Cleaned[[#This Row],[UnitPrice]]</f>
        <v>546.19000000000005</v>
      </c>
    </row>
    <row r="252" spans="1:15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  <c r="O252" s="4">
        <f>Orders_Cleaned[[#This Row],[Quantity]]*Orders_Cleaned[[#This Row],[UnitPrice]]</f>
        <v>128.85000000000002</v>
      </c>
    </row>
    <row r="253" spans="1:15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  <c r="O253" s="4">
        <f>Orders_Cleaned[[#This Row],[Quantity]]*Orders_Cleaned[[#This Row],[UnitPrice]]</f>
        <v>58.76</v>
      </c>
    </row>
    <row r="254" spans="1:15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  <c r="O254" s="4">
        <f>Orders_Cleaned[[#This Row],[Quantity]]*Orders_Cleaned[[#This Row],[UnitPrice]]</f>
        <v>2673.44</v>
      </c>
    </row>
    <row r="255" spans="1:15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  <c r="O255" s="4">
        <f>Orders_Cleaned[[#This Row],[Quantity]]*Orders_Cleaned[[#This Row],[UnitPrice]]</f>
        <v>1654.96</v>
      </c>
    </row>
    <row r="256" spans="1:15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  <c r="O256" s="4">
        <f>Orders_Cleaned[[#This Row],[Quantity]]*Orders_Cleaned[[#This Row],[UnitPrice]]</f>
        <v>789.56999999999994</v>
      </c>
    </row>
    <row r="257" spans="1:15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  <c r="O257" s="4">
        <f>Orders_Cleaned[[#This Row],[Quantity]]*Orders_Cleaned[[#This Row],[UnitPrice]]</f>
        <v>263.95999999999998</v>
      </c>
    </row>
    <row r="258" spans="1:15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  <c r="O258" s="4">
        <f>Orders_Cleaned[[#This Row],[Quantity]]*Orders_Cleaned[[#This Row],[UnitPrice]]</f>
        <v>379.05</v>
      </c>
    </row>
    <row r="259" spans="1:15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  <c r="O259" s="4">
        <f>Orders_Cleaned[[#This Row],[Quantity]]*Orders_Cleaned[[#This Row],[UnitPrice]]</f>
        <v>406.22</v>
      </c>
    </row>
    <row r="260" spans="1:15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  <c r="O260" s="4">
        <f>Orders_Cleaned[[#This Row],[Quantity]]*Orders_Cleaned[[#This Row],[UnitPrice]]</f>
        <v>206.82</v>
      </c>
    </row>
    <row r="261" spans="1:15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  <c r="O261" s="4">
        <f>Orders_Cleaned[[#This Row],[Quantity]]*Orders_Cleaned[[#This Row],[UnitPrice]]</f>
        <v>1740.48</v>
      </c>
    </row>
    <row r="262" spans="1:15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  <c r="O262" s="4">
        <f>Orders_Cleaned[[#This Row],[Quantity]]*Orders_Cleaned[[#This Row],[UnitPrice]]</f>
        <v>815.58</v>
      </c>
    </row>
    <row r="263" spans="1:15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  <c r="O263" s="4">
        <f>Orders_Cleaned[[#This Row],[Quantity]]*Orders_Cleaned[[#This Row],[UnitPrice]]</f>
        <v>868.25</v>
      </c>
    </row>
    <row r="264" spans="1:15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  <c r="O264" s="4">
        <f>Orders_Cleaned[[#This Row],[Quantity]]*Orders_Cleaned[[#This Row],[UnitPrice]]</f>
        <v>996.28</v>
      </c>
    </row>
    <row r="265" spans="1:15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  <c r="O265" s="4">
        <f>Orders_Cleaned[[#This Row],[Quantity]]*Orders_Cleaned[[#This Row],[UnitPrice]]</f>
        <v>1739.4</v>
      </c>
    </row>
    <row r="266" spans="1:15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  <c r="O266" s="4">
        <f>Orders_Cleaned[[#This Row],[Quantity]]*Orders_Cleaned[[#This Row],[UnitPrice]]</f>
        <v>436.77</v>
      </c>
    </row>
    <row r="267" spans="1:15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  <c r="O267" s="4">
        <f>Orders_Cleaned[[#This Row],[Quantity]]*Orders_Cleaned[[#This Row],[UnitPrice]]</f>
        <v>572.13</v>
      </c>
    </row>
    <row r="268" spans="1:15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  <c r="O268" s="4">
        <f>Orders_Cleaned[[#This Row],[Quantity]]*Orders_Cleaned[[#This Row],[UnitPrice]]</f>
        <v>2332.2800000000002</v>
      </c>
    </row>
    <row r="269" spans="1:15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  <c r="O269" s="4">
        <f>Orders_Cleaned[[#This Row],[Quantity]]*Orders_Cleaned[[#This Row],[UnitPrice]]</f>
        <v>2342.5500000000002</v>
      </c>
    </row>
    <row r="270" spans="1:15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  <c r="O270" s="4">
        <f>Orders_Cleaned[[#This Row],[Quantity]]*Orders_Cleaned[[#This Row],[UnitPrice]]</f>
        <v>847.76</v>
      </c>
    </row>
    <row r="271" spans="1:15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  <c r="O271" s="4">
        <f>Orders_Cleaned[[#This Row],[Quantity]]*Orders_Cleaned[[#This Row],[UnitPrice]]</f>
        <v>2654.68</v>
      </c>
    </row>
    <row r="272" spans="1:15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  <c r="O272" s="4">
        <f>Orders_Cleaned[[#This Row],[Quantity]]*Orders_Cleaned[[#This Row],[UnitPrice]]</f>
        <v>1239.6400000000001</v>
      </c>
    </row>
    <row r="273" spans="1:15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  <c r="O273" s="4">
        <f>Orders_Cleaned[[#This Row],[Quantity]]*Orders_Cleaned[[#This Row],[UnitPrice]]</f>
        <v>542.07000000000005</v>
      </c>
    </row>
    <row r="274" spans="1:15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  <c r="O274" s="4">
        <f>Orders_Cleaned[[#This Row],[Quantity]]*Orders_Cleaned[[#This Row],[UnitPrice]]</f>
        <v>798.64</v>
      </c>
    </row>
    <row r="275" spans="1:15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  <c r="O275" s="4">
        <f>Orders_Cleaned[[#This Row],[Quantity]]*Orders_Cleaned[[#This Row],[UnitPrice]]</f>
        <v>476.5</v>
      </c>
    </row>
    <row r="276" spans="1:15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  <c r="O276" s="4">
        <f>Orders_Cleaned[[#This Row],[Quantity]]*Orders_Cleaned[[#This Row],[UnitPrice]]</f>
        <v>364.8</v>
      </c>
    </row>
    <row r="277" spans="1:15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  <c r="O277" s="4">
        <f>Orders_Cleaned[[#This Row],[Quantity]]*Orders_Cleaned[[#This Row],[UnitPrice]]</f>
        <v>130.13999999999999</v>
      </c>
    </row>
    <row r="278" spans="1:15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  <c r="O278" s="4">
        <f>Orders_Cleaned[[#This Row],[Quantity]]*Orders_Cleaned[[#This Row],[UnitPrice]]</f>
        <v>1201.1400000000001</v>
      </c>
    </row>
    <row r="279" spans="1:15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  <c r="O279" s="4">
        <f>Orders_Cleaned[[#This Row],[Quantity]]*Orders_Cleaned[[#This Row],[UnitPrice]]</f>
        <v>454.6</v>
      </c>
    </row>
    <row r="280" spans="1:15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  <c r="O280" s="4">
        <f>Orders_Cleaned[[#This Row],[Quantity]]*Orders_Cleaned[[#This Row],[UnitPrice]]</f>
        <v>1812.3</v>
      </c>
    </row>
    <row r="281" spans="1:15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  <c r="O281" s="4">
        <f>Orders_Cleaned[[#This Row],[Quantity]]*Orders_Cleaned[[#This Row],[UnitPrice]]</f>
        <v>165.03</v>
      </c>
    </row>
    <row r="282" spans="1:15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  <c r="O282" s="4">
        <f>Orders_Cleaned[[#This Row],[Quantity]]*Orders_Cleaned[[#This Row],[UnitPrice]]</f>
        <v>1213.8600000000001</v>
      </c>
    </row>
    <row r="283" spans="1:15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  <c r="O283" s="4">
        <f>Orders_Cleaned[[#This Row],[Quantity]]*Orders_Cleaned[[#This Row],[UnitPrice]]</f>
        <v>2619.16</v>
      </c>
    </row>
    <row r="284" spans="1:15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  <c r="O284" s="4">
        <f>Orders_Cleaned[[#This Row],[Quantity]]*Orders_Cleaned[[#This Row],[UnitPrice]]</f>
        <v>2551.16</v>
      </c>
    </row>
    <row r="285" spans="1:15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  <c r="O285" s="4">
        <f>Orders_Cleaned[[#This Row],[Quantity]]*Orders_Cleaned[[#This Row],[UnitPrice]]</f>
        <v>2161.3200000000002</v>
      </c>
    </row>
    <row r="286" spans="1:15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  <c r="O286" s="4">
        <f>Orders_Cleaned[[#This Row],[Quantity]]*Orders_Cleaned[[#This Row],[UnitPrice]]</f>
        <v>1040.8499999999999</v>
      </c>
    </row>
    <row r="287" spans="1:15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  <c r="O287" s="4">
        <f>Orders_Cleaned[[#This Row],[Quantity]]*Orders_Cleaned[[#This Row],[UnitPrice]]</f>
        <v>338.31</v>
      </c>
    </row>
    <row r="288" spans="1:15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  <c r="O288" s="4">
        <f>Orders_Cleaned[[#This Row],[Quantity]]*Orders_Cleaned[[#This Row],[UnitPrice]]</f>
        <v>418.34999999999997</v>
      </c>
    </row>
    <row r="289" spans="1:15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  <c r="O289" s="4">
        <f>Orders_Cleaned[[#This Row],[Quantity]]*Orders_Cleaned[[#This Row],[UnitPrice]]</f>
        <v>2620.7199999999998</v>
      </c>
    </row>
    <row r="290" spans="1:15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  <c r="O290" s="4">
        <f>Orders_Cleaned[[#This Row],[Quantity]]*Orders_Cleaned[[#This Row],[UnitPrice]]</f>
        <v>2051</v>
      </c>
    </row>
    <row r="291" spans="1:15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  <c r="O291" s="4">
        <f>Orders_Cleaned[[#This Row],[Quantity]]*Orders_Cleaned[[#This Row],[UnitPrice]]</f>
        <v>641.96</v>
      </c>
    </row>
    <row r="292" spans="1:15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  <c r="O292" s="4">
        <f>Orders_Cleaned[[#This Row],[Quantity]]*Orders_Cleaned[[#This Row],[UnitPrice]]</f>
        <v>299.70000000000005</v>
      </c>
    </row>
    <row r="293" spans="1:15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  <c r="O293" s="4">
        <f>Orders_Cleaned[[#This Row],[Quantity]]*Orders_Cleaned[[#This Row],[UnitPrice]]</f>
        <v>690.02</v>
      </c>
    </row>
    <row r="294" spans="1:15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  <c r="O294" s="4">
        <f>Orders_Cleaned[[#This Row],[Quantity]]*Orders_Cleaned[[#This Row],[UnitPrice]]</f>
        <v>65.95</v>
      </c>
    </row>
    <row r="295" spans="1:15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  <c r="O295" s="4">
        <f>Orders_Cleaned[[#This Row],[Quantity]]*Orders_Cleaned[[#This Row],[UnitPrice]]</f>
        <v>1852.16</v>
      </c>
    </row>
    <row r="296" spans="1:15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  <c r="O296" s="4">
        <f>Orders_Cleaned[[#This Row],[Quantity]]*Orders_Cleaned[[#This Row],[UnitPrice]]</f>
        <v>595.41999999999996</v>
      </c>
    </row>
    <row r="297" spans="1:15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  <c r="O297" s="4">
        <f>Orders_Cleaned[[#This Row],[Quantity]]*Orders_Cleaned[[#This Row],[UnitPrice]]</f>
        <v>537.4</v>
      </c>
    </row>
    <row r="298" spans="1:15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  <c r="O298" s="4">
        <f>Orders_Cleaned[[#This Row],[Quantity]]*Orders_Cleaned[[#This Row],[UnitPrice]]</f>
        <v>3194</v>
      </c>
    </row>
    <row r="299" spans="1:15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  <c r="O299" s="4">
        <f>Orders_Cleaned[[#This Row],[Quantity]]*Orders_Cleaned[[#This Row],[UnitPrice]]</f>
        <v>987.76</v>
      </c>
    </row>
    <row r="300" spans="1:15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  <c r="O300" s="4">
        <f>Orders_Cleaned[[#This Row],[Quantity]]*Orders_Cleaned[[#This Row],[UnitPrice]]</f>
        <v>1204.68</v>
      </c>
    </row>
    <row r="301" spans="1:15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  <c r="O301" s="4">
        <f>Orders_Cleaned[[#This Row],[Quantity]]*Orders_Cleaned[[#This Row],[UnitPrice]]</f>
        <v>278.66000000000003</v>
      </c>
    </row>
    <row r="302" spans="1:15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  <c r="O302" s="4">
        <f>Orders_Cleaned[[#This Row],[Quantity]]*Orders_Cleaned[[#This Row],[UnitPrice]]</f>
        <v>287.45999999999998</v>
      </c>
    </row>
    <row r="303" spans="1:15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  <c r="O303" s="4">
        <f>Orders_Cleaned[[#This Row],[Quantity]]*Orders_Cleaned[[#This Row],[UnitPrice]]</f>
        <v>583.99</v>
      </c>
    </row>
    <row r="304" spans="1:15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  <c r="O304" s="4">
        <f>Orders_Cleaned[[#This Row],[Quantity]]*Orders_Cleaned[[#This Row],[UnitPrice]]</f>
        <v>1406.22</v>
      </c>
    </row>
    <row r="305" spans="1:15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  <c r="O305" s="4">
        <f>Orders_Cleaned[[#This Row],[Quantity]]*Orders_Cleaned[[#This Row],[UnitPrice]]</f>
        <v>30.54</v>
      </c>
    </row>
    <row r="306" spans="1:15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  <c r="O306" s="4">
        <f>Orders_Cleaned[[#This Row],[Quantity]]*Orders_Cleaned[[#This Row],[UnitPrice]]</f>
        <v>2043.65</v>
      </c>
    </row>
    <row r="307" spans="1:15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  <c r="O307" s="4">
        <f>Orders_Cleaned[[#This Row],[Quantity]]*Orders_Cleaned[[#This Row],[UnitPrice]]</f>
        <v>507.56</v>
      </c>
    </row>
    <row r="308" spans="1:15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  <c r="O308" s="4">
        <f>Orders_Cleaned[[#This Row],[Quantity]]*Orders_Cleaned[[#This Row],[UnitPrice]]</f>
        <v>114.14</v>
      </c>
    </row>
    <row r="309" spans="1:15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  <c r="O309" s="4">
        <f>Orders_Cleaned[[#This Row],[Quantity]]*Orders_Cleaned[[#This Row],[UnitPrice]]</f>
        <v>1672.23</v>
      </c>
    </row>
    <row r="310" spans="1:15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  <c r="O310" s="4">
        <f>Orders_Cleaned[[#This Row],[Quantity]]*Orders_Cleaned[[#This Row],[UnitPrice]]</f>
        <v>1346.6999999999998</v>
      </c>
    </row>
    <row r="311" spans="1:15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  <c r="O311" s="4">
        <f>Orders_Cleaned[[#This Row],[Quantity]]*Orders_Cleaned[[#This Row],[UnitPrice]]</f>
        <v>2199.04</v>
      </c>
    </row>
    <row r="312" spans="1:15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  <c r="O312" s="4">
        <f>Orders_Cleaned[[#This Row],[Quantity]]*Orders_Cleaned[[#This Row],[UnitPrice]]</f>
        <v>397.43999999999994</v>
      </c>
    </row>
    <row r="313" spans="1:15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  <c r="O313" s="4">
        <f>Orders_Cleaned[[#This Row],[Quantity]]*Orders_Cleaned[[#This Row],[UnitPrice]]</f>
        <v>2446.85</v>
      </c>
    </row>
    <row r="314" spans="1:15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  <c r="O314" s="4">
        <f>Orders_Cleaned[[#This Row],[Quantity]]*Orders_Cleaned[[#This Row],[UnitPrice]]</f>
        <v>331.55</v>
      </c>
    </row>
    <row r="315" spans="1:15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  <c r="O315" s="4">
        <f>Orders_Cleaned[[#This Row],[Quantity]]*Orders_Cleaned[[#This Row],[UnitPrice]]</f>
        <v>868.6</v>
      </c>
    </row>
    <row r="316" spans="1:15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  <c r="O316" s="4">
        <f>Orders_Cleaned[[#This Row],[Quantity]]*Orders_Cleaned[[#This Row],[UnitPrice]]</f>
        <v>612.36</v>
      </c>
    </row>
    <row r="317" spans="1:15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  <c r="O317" s="4">
        <f>Orders_Cleaned[[#This Row],[Quantity]]*Orders_Cleaned[[#This Row],[UnitPrice]]</f>
        <v>458.35</v>
      </c>
    </row>
    <row r="318" spans="1:15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  <c r="O318" s="4">
        <f>Orders_Cleaned[[#This Row],[Quantity]]*Orders_Cleaned[[#This Row],[UnitPrice]]</f>
        <v>1101.1199999999999</v>
      </c>
    </row>
    <row r="319" spans="1:15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  <c r="O319" s="4">
        <f>Orders_Cleaned[[#This Row],[Quantity]]*Orders_Cleaned[[#This Row],[UnitPrice]]</f>
        <v>279.89999999999998</v>
      </c>
    </row>
    <row r="320" spans="1:15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  <c r="O320" s="4">
        <f>Orders_Cleaned[[#This Row],[Quantity]]*Orders_Cleaned[[#This Row],[UnitPrice]]</f>
        <v>446.15999999999997</v>
      </c>
    </row>
    <row r="321" spans="1:15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  <c r="O321" s="4">
        <f>Orders_Cleaned[[#This Row],[Quantity]]*Orders_Cleaned[[#This Row],[UnitPrice]]</f>
        <v>1126.1199999999999</v>
      </c>
    </row>
    <row r="322" spans="1:15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  <c r="O322" s="4">
        <f>Orders_Cleaned[[#This Row],[Quantity]]*Orders_Cleaned[[#This Row],[UnitPrice]]</f>
        <v>625.51</v>
      </c>
    </row>
    <row r="323" spans="1:15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  <c r="O323" s="4">
        <f>Orders_Cleaned[[#This Row],[Quantity]]*Orders_Cleaned[[#This Row],[UnitPrice]]</f>
        <v>609.16</v>
      </c>
    </row>
    <row r="324" spans="1:15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  <c r="O324" s="4">
        <f>Orders_Cleaned[[#This Row],[Quantity]]*Orders_Cleaned[[#This Row],[UnitPrice]]</f>
        <v>1159.0999999999999</v>
      </c>
    </row>
    <row r="325" spans="1:15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  <c r="O325" s="4">
        <f>Orders_Cleaned[[#This Row],[Quantity]]*Orders_Cleaned[[#This Row],[UnitPrice]]</f>
        <v>150.16999999999999</v>
      </c>
    </row>
    <row r="326" spans="1:15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  <c r="O326" s="4">
        <f>Orders_Cleaned[[#This Row],[Quantity]]*Orders_Cleaned[[#This Row],[UnitPrice]]</f>
        <v>212.79000000000002</v>
      </c>
    </row>
    <row r="327" spans="1:15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  <c r="O327" s="4">
        <f>Orders_Cleaned[[#This Row],[Quantity]]*Orders_Cleaned[[#This Row],[UnitPrice]]</f>
        <v>1084.17</v>
      </c>
    </row>
    <row r="328" spans="1:15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  <c r="O328" s="4">
        <f>Orders_Cleaned[[#This Row],[Quantity]]*Orders_Cleaned[[#This Row],[UnitPrice]]</f>
        <v>3352.4</v>
      </c>
    </row>
    <row r="329" spans="1:15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  <c r="O329" s="4">
        <f>Orders_Cleaned[[#This Row],[Quantity]]*Orders_Cleaned[[#This Row],[UnitPrice]]</f>
        <v>359.99</v>
      </c>
    </row>
    <row r="330" spans="1:15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  <c r="O330" s="4">
        <f>Orders_Cleaned[[#This Row],[Quantity]]*Orders_Cleaned[[#This Row],[UnitPrice]]</f>
        <v>3370.2</v>
      </c>
    </row>
    <row r="331" spans="1:15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  <c r="O331" s="4">
        <f>Orders_Cleaned[[#This Row],[Quantity]]*Orders_Cleaned[[#This Row],[UnitPrice]]</f>
        <v>1132.6400000000001</v>
      </c>
    </row>
    <row r="332" spans="1:15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  <c r="O332" s="4">
        <f>Orders_Cleaned[[#This Row],[Quantity]]*Orders_Cleaned[[#This Row],[UnitPrice]]</f>
        <v>1302.6499999999999</v>
      </c>
    </row>
    <row r="333" spans="1:15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  <c r="O333" s="4">
        <f>Orders_Cleaned[[#This Row],[Quantity]]*Orders_Cleaned[[#This Row],[UnitPrice]]</f>
        <v>1266.3899999999999</v>
      </c>
    </row>
    <row r="334" spans="1:15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  <c r="O334" s="4">
        <f>Orders_Cleaned[[#This Row],[Quantity]]*Orders_Cleaned[[#This Row],[UnitPrice]]</f>
        <v>625.1</v>
      </c>
    </row>
    <row r="335" spans="1:15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  <c r="O335" s="4">
        <f>Orders_Cleaned[[#This Row],[Quantity]]*Orders_Cleaned[[#This Row],[UnitPrice]]</f>
        <v>198.51</v>
      </c>
    </row>
    <row r="336" spans="1:15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  <c r="O336" s="4">
        <f>Orders_Cleaned[[#This Row],[Quantity]]*Orders_Cleaned[[#This Row],[UnitPrice]]</f>
        <v>899</v>
      </c>
    </row>
    <row r="337" spans="1:15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  <c r="O337" s="4">
        <f>Orders_Cleaned[[#This Row],[Quantity]]*Orders_Cleaned[[#This Row],[UnitPrice]]</f>
        <v>617.58000000000004</v>
      </c>
    </row>
    <row r="338" spans="1:15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  <c r="O338" s="4">
        <f>Orders_Cleaned[[#This Row],[Quantity]]*Orders_Cleaned[[#This Row],[UnitPrice]]</f>
        <v>18.2</v>
      </c>
    </row>
    <row r="339" spans="1:15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  <c r="O339" s="4">
        <f>Orders_Cleaned[[#This Row],[Quantity]]*Orders_Cleaned[[#This Row],[UnitPrice]]</f>
        <v>1508.31</v>
      </c>
    </row>
    <row r="340" spans="1:15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  <c r="O340" s="4">
        <f>Orders_Cleaned[[#This Row],[Quantity]]*Orders_Cleaned[[#This Row],[UnitPrice]]</f>
        <v>1527.45</v>
      </c>
    </row>
    <row r="341" spans="1:15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  <c r="O341" s="4">
        <f>Orders_Cleaned[[#This Row],[Quantity]]*Orders_Cleaned[[#This Row],[UnitPrice]]</f>
        <v>472.66</v>
      </c>
    </row>
    <row r="342" spans="1:15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  <c r="O342" s="4">
        <f>Orders_Cleaned[[#This Row],[Quantity]]*Orders_Cleaned[[#This Row],[UnitPrice]]</f>
        <v>2606.25</v>
      </c>
    </row>
    <row r="343" spans="1:15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  <c r="O343" s="4">
        <f>Orders_Cleaned[[#This Row],[Quantity]]*Orders_Cleaned[[#This Row],[UnitPrice]]</f>
        <v>167.15</v>
      </c>
    </row>
    <row r="344" spans="1:15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  <c r="O344" s="4">
        <f>Orders_Cleaned[[#This Row],[Quantity]]*Orders_Cleaned[[#This Row],[UnitPrice]]</f>
        <v>2332.1</v>
      </c>
    </row>
    <row r="345" spans="1:15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  <c r="O345" s="4">
        <f>Orders_Cleaned[[#This Row],[Quantity]]*Orders_Cleaned[[#This Row],[UnitPrice]]</f>
        <v>527.57000000000005</v>
      </c>
    </row>
    <row r="346" spans="1:15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  <c r="O346" s="4">
        <f>Orders_Cleaned[[#This Row],[Quantity]]*Orders_Cleaned[[#This Row],[UnitPrice]]</f>
        <v>1870.02</v>
      </c>
    </row>
    <row r="347" spans="1:15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  <c r="O347" s="4">
        <f>Orders_Cleaned[[#This Row],[Quantity]]*Orders_Cleaned[[#This Row],[UnitPrice]]</f>
        <v>2506.3000000000002</v>
      </c>
    </row>
    <row r="348" spans="1:15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  <c r="O348" s="4">
        <f>Orders_Cleaned[[#This Row],[Quantity]]*Orders_Cleaned[[#This Row],[UnitPrice]]</f>
        <v>655.09</v>
      </c>
    </row>
    <row r="349" spans="1:15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  <c r="O349" s="4">
        <f>Orders_Cleaned[[#This Row],[Quantity]]*Orders_Cleaned[[#This Row],[UnitPrice]]</f>
        <v>1059.1600000000001</v>
      </c>
    </row>
    <row r="350" spans="1:15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  <c r="O350" s="4">
        <f>Orders_Cleaned[[#This Row],[Quantity]]*Orders_Cleaned[[#This Row],[UnitPrice]]</f>
        <v>1079.19</v>
      </c>
    </row>
    <row r="351" spans="1:15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  <c r="O351" s="4">
        <f>Orders_Cleaned[[#This Row],[Quantity]]*Orders_Cleaned[[#This Row],[UnitPrice]]</f>
        <v>465.33</v>
      </c>
    </row>
    <row r="352" spans="1:15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  <c r="O352" s="4">
        <f>Orders_Cleaned[[#This Row],[Quantity]]*Orders_Cleaned[[#This Row],[UnitPrice]]</f>
        <v>108.82</v>
      </c>
    </row>
    <row r="353" spans="1:15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  <c r="O353" s="4">
        <f>Orders_Cleaned[[#This Row],[Quantity]]*Orders_Cleaned[[#This Row],[UnitPrice]]</f>
        <v>64.66</v>
      </c>
    </row>
    <row r="354" spans="1:15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  <c r="O354" s="4">
        <f>Orders_Cleaned[[#This Row],[Quantity]]*Orders_Cleaned[[#This Row],[UnitPrice]]</f>
        <v>869.80000000000007</v>
      </c>
    </row>
    <row r="355" spans="1:15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  <c r="O355" s="4">
        <f>Orders_Cleaned[[#This Row],[Quantity]]*Orders_Cleaned[[#This Row],[UnitPrice]]</f>
        <v>630.82000000000005</v>
      </c>
    </row>
    <row r="356" spans="1:15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  <c r="O356" s="4">
        <f>Orders_Cleaned[[#This Row],[Quantity]]*Orders_Cleaned[[#This Row],[UnitPrice]]</f>
        <v>693.41</v>
      </c>
    </row>
    <row r="357" spans="1:15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  <c r="O357" s="4">
        <f>Orders_Cleaned[[#This Row],[Quantity]]*Orders_Cleaned[[#This Row],[UnitPrice]]</f>
        <v>1299.99</v>
      </c>
    </row>
    <row r="358" spans="1:15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  <c r="O358" s="4">
        <f>Orders_Cleaned[[#This Row],[Quantity]]*Orders_Cleaned[[#This Row],[UnitPrice]]</f>
        <v>1872.8999999999999</v>
      </c>
    </row>
    <row r="359" spans="1:15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  <c r="O359" s="4">
        <f>Orders_Cleaned[[#This Row],[Quantity]]*Orders_Cleaned[[#This Row],[UnitPrice]]</f>
        <v>2042.8</v>
      </c>
    </row>
    <row r="360" spans="1:15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  <c r="O360" s="4">
        <f>Orders_Cleaned[[#This Row],[Quantity]]*Orders_Cleaned[[#This Row],[UnitPrice]]</f>
        <v>367.34</v>
      </c>
    </row>
    <row r="361" spans="1:15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  <c r="O361" s="4">
        <f>Orders_Cleaned[[#This Row],[Quantity]]*Orders_Cleaned[[#This Row],[UnitPrice]]</f>
        <v>2426.2800000000002</v>
      </c>
    </row>
    <row r="362" spans="1:15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  <c r="O362" s="4">
        <f>Orders_Cleaned[[#This Row],[Quantity]]*Orders_Cleaned[[#This Row],[UnitPrice]]</f>
        <v>2358.2800000000002</v>
      </c>
    </row>
    <row r="363" spans="1:15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  <c r="O363" s="4">
        <f>Orders_Cleaned[[#This Row],[Quantity]]*Orders_Cleaned[[#This Row],[UnitPrice]]</f>
        <v>3299.25</v>
      </c>
    </row>
    <row r="364" spans="1:15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  <c r="O364" s="4">
        <f>Orders_Cleaned[[#This Row],[Quantity]]*Orders_Cleaned[[#This Row],[UnitPrice]]</f>
        <v>827.36</v>
      </c>
    </row>
    <row r="365" spans="1:15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  <c r="O365" s="4">
        <f>Orders_Cleaned[[#This Row],[Quantity]]*Orders_Cleaned[[#This Row],[UnitPrice]]</f>
        <v>569.35</v>
      </c>
    </row>
    <row r="366" spans="1:15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  <c r="O366" s="4">
        <f>Orders_Cleaned[[#This Row],[Quantity]]*Orders_Cleaned[[#This Row],[UnitPrice]]</f>
        <v>3143.7</v>
      </c>
    </row>
    <row r="367" spans="1:15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  <c r="O367" s="4">
        <f>Orders_Cleaned[[#This Row],[Quantity]]*Orders_Cleaned[[#This Row],[UnitPrice]]</f>
        <v>678.38</v>
      </c>
    </row>
    <row r="368" spans="1:15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  <c r="O368" s="4">
        <f>Orders_Cleaned[[#This Row],[Quantity]]*Orders_Cleaned[[#This Row],[UnitPrice]]</f>
        <v>1806.72</v>
      </c>
    </row>
    <row r="369" spans="1:15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  <c r="O369" s="4">
        <f>Orders_Cleaned[[#This Row],[Quantity]]*Orders_Cleaned[[#This Row],[UnitPrice]]</f>
        <v>3293.85</v>
      </c>
    </row>
    <row r="370" spans="1:15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  <c r="O370" s="4">
        <f>Orders_Cleaned[[#This Row],[Quantity]]*Orders_Cleaned[[#This Row],[UnitPrice]]</f>
        <v>813.06</v>
      </c>
    </row>
    <row r="371" spans="1:15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  <c r="O371" s="4">
        <f>Orders_Cleaned[[#This Row],[Quantity]]*Orders_Cleaned[[#This Row],[UnitPrice]]</f>
        <v>1876.25</v>
      </c>
    </row>
    <row r="372" spans="1:15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  <c r="O372" s="4">
        <f>Orders_Cleaned[[#This Row],[Quantity]]*Orders_Cleaned[[#This Row],[UnitPrice]]</f>
        <v>312.11</v>
      </c>
    </row>
    <row r="373" spans="1:15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  <c r="O373" s="4">
        <f>Orders_Cleaned[[#This Row],[Quantity]]*Orders_Cleaned[[#This Row],[UnitPrice]]</f>
        <v>1538.8</v>
      </c>
    </row>
    <row r="374" spans="1:15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  <c r="O374" s="4">
        <f>Orders_Cleaned[[#This Row],[Quantity]]*Orders_Cleaned[[#This Row],[UnitPrice]]</f>
        <v>1450.59</v>
      </c>
    </row>
    <row r="375" spans="1:15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  <c r="O375" s="4">
        <f>Orders_Cleaned[[#This Row],[Quantity]]*Orders_Cleaned[[#This Row],[UnitPrice]]</f>
        <v>1023.4499999999999</v>
      </c>
    </row>
    <row r="376" spans="1:15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  <c r="O376" s="4">
        <f>Orders_Cleaned[[#This Row],[Quantity]]*Orders_Cleaned[[#This Row],[UnitPrice]]</f>
        <v>571.9</v>
      </c>
    </row>
    <row r="377" spans="1:15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  <c r="O377" s="4">
        <f>Orders_Cleaned[[#This Row],[Quantity]]*Orders_Cleaned[[#This Row],[UnitPrice]]</f>
        <v>380.12</v>
      </c>
    </row>
    <row r="378" spans="1:15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  <c r="O378" s="4">
        <f>Orders_Cleaned[[#This Row],[Quantity]]*Orders_Cleaned[[#This Row],[UnitPrice]]</f>
        <v>1006.1</v>
      </c>
    </row>
    <row r="379" spans="1:15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  <c r="O379" s="4">
        <f>Orders_Cleaned[[#This Row],[Quantity]]*Orders_Cleaned[[#This Row],[UnitPrice]]</f>
        <v>260.26</v>
      </c>
    </row>
    <row r="380" spans="1:15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  <c r="O380" s="4">
        <f>Orders_Cleaned[[#This Row],[Quantity]]*Orders_Cleaned[[#This Row],[UnitPrice]]</f>
        <v>322.5</v>
      </c>
    </row>
    <row r="381" spans="1:15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  <c r="O381" s="4">
        <f>Orders_Cleaned[[#This Row],[Quantity]]*Orders_Cleaned[[#This Row],[UnitPrice]]</f>
        <v>893.01</v>
      </c>
    </row>
    <row r="382" spans="1:15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  <c r="O382" s="4">
        <f>Orders_Cleaned[[#This Row],[Quantity]]*Orders_Cleaned[[#This Row],[UnitPrice]]</f>
        <v>1327.6</v>
      </c>
    </row>
    <row r="383" spans="1:15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  <c r="O383" s="4">
        <f>Orders_Cleaned[[#This Row],[Quantity]]*Orders_Cleaned[[#This Row],[UnitPrice]]</f>
        <v>191.76</v>
      </c>
    </row>
    <row r="384" spans="1:15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  <c r="O384" s="4">
        <f>Orders_Cleaned[[#This Row],[Quantity]]*Orders_Cleaned[[#This Row],[UnitPrice]]</f>
        <v>1052.3599999999999</v>
      </c>
    </row>
    <row r="385" spans="1:15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  <c r="O385" s="4">
        <f>Orders_Cleaned[[#This Row],[Quantity]]*Orders_Cleaned[[#This Row],[UnitPrice]]</f>
        <v>1575.2</v>
      </c>
    </row>
    <row r="386" spans="1:15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  <c r="O386" s="4">
        <f>Orders_Cleaned[[#This Row],[Quantity]]*Orders_Cleaned[[#This Row],[UnitPrice]]</f>
        <v>1660.71</v>
      </c>
    </row>
    <row r="387" spans="1:15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  <c r="O387" s="4">
        <f>Orders_Cleaned[[#This Row],[Quantity]]*Orders_Cleaned[[#This Row],[UnitPrice]]</f>
        <v>958.15</v>
      </c>
    </row>
    <row r="388" spans="1:15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  <c r="O388" s="4">
        <f>Orders_Cleaned[[#This Row],[Quantity]]*Orders_Cleaned[[#This Row],[UnitPrice]]</f>
        <v>93.02</v>
      </c>
    </row>
    <row r="389" spans="1:15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  <c r="O389" s="4">
        <f>Orders_Cleaned[[#This Row],[Quantity]]*Orders_Cleaned[[#This Row],[UnitPrice]]</f>
        <v>79.06</v>
      </c>
    </row>
    <row r="390" spans="1:15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  <c r="O390" s="4">
        <f>Orders_Cleaned[[#This Row],[Quantity]]*Orders_Cleaned[[#This Row],[UnitPrice]]</f>
        <v>1901.91</v>
      </c>
    </row>
    <row r="391" spans="1:15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  <c r="O391" s="4">
        <f>Orders_Cleaned[[#This Row],[Quantity]]*Orders_Cleaned[[#This Row],[UnitPrice]]</f>
        <v>2790</v>
      </c>
    </row>
    <row r="392" spans="1:15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  <c r="O392" s="4">
        <f>Orders_Cleaned[[#This Row],[Quantity]]*Orders_Cleaned[[#This Row],[UnitPrice]]</f>
        <v>2543.4499999999998</v>
      </c>
    </row>
    <row r="393" spans="1:15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  <c r="O393" s="4">
        <f>Orders_Cleaned[[#This Row],[Quantity]]*Orders_Cleaned[[#This Row],[UnitPrice]]</f>
        <v>1054.92</v>
      </c>
    </row>
    <row r="394" spans="1:15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  <c r="O394" s="4">
        <f>Orders_Cleaned[[#This Row],[Quantity]]*Orders_Cleaned[[#This Row],[UnitPrice]]</f>
        <v>627.20000000000005</v>
      </c>
    </row>
    <row r="395" spans="1:15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  <c r="O395" s="4">
        <f>Orders_Cleaned[[#This Row],[Quantity]]*Orders_Cleaned[[#This Row],[UnitPrice]]</f>
        <v>75.010000000000005</v>
      </c>
    </row>
    <row r="396" spans="1:15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  <c r="O396" s="4">
        <f>Orders_Cleaned[[#This Row],[Quantity]]*Orders_Cleaned[[#This Row],[UnitPrice]]</f>
        <v>2647.75</v>
      </c>
    </row>
    <row r="397" spans="1:15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  <c r="O397" s="4">
        <f>Orders_Cleaned[[#This Row],[Quantity]]*Orders_Cleaned[[#This Row],[UnitPrice]]</f>
        <v>382.23</v>
      </c>
    </row>
    <row r="398" spans="1:15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  <c r="O398" s="4">
        <f>Orders_Cleaned[[#This Row],[Quantity]]*Orders_Cleaned[[#This Row],[UnitPrice]]</f>
        <v>1435.65</v>
      </c>
    </row>
    <row r="399" spans="1:15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  <c r="O399" s="4">
        <f>Orders_Cleaned[[#This Row],[Quantity]]*Orders_Cleaned[[#This Row],[UnitPrice]]</f>
        <v>427.06</v>
      </c>
    </row>
    <row r="400" spans="1:15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  <c r="O400" s="4">
        <f>Orders_Cleaned[[#This Row],[Quantity]]*Orders_Cleaned[[#This Row],[UnitPrice]]</f>
        <v>269.64999999999998</v>
      </c>
    </row>
    <row r="401" spans="1:15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  <c r="O401" s="4">
        <f>Orders_Cleaned[[#This Row],[Quantity]]*Orders_Cleaned[[#This Row],[UnitPrice]]</f>
        <v>2119.65</v>
      </c>
    </row>
    <row r="402" spans="1:15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  <c r="O402" s="4">
        <f>Orders_Cleaned[[#This Row],[Quantity]]*Orders_Cleaned[[#This Row],[UnitPrice]]</f>
        <v>640.88</v>
      </c>
    </row>
    <row r="403" spans="1:15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  <c r="O403" s="4">
        <f>Orders_Cleaned[[#This Row],[Quantity]]*Orders_Cleaned[[#This Row],[UnitPrice]]</f>
        <v>538.67999999999995</v>
      </c>
    </row>
    <row r="404" spans="1:15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  <c r="O404" s="4">
        <f>Orders_Cleaned[[#This Row],[Quantity]]*Orders_Cleaned[[#This Row],[UnitPrice]]</f>
        <v>1686.9</v>
      </c>
    </row>
    <row r="405" spans="1:15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  <c r="O405" s="4">
        <f>Orders_Cleaned[[#This Row],[Quantity]]*Orders_Cleaned[[#This Row],[UnitPrice]]</f>
        <v>620.21</v>
      </c>
    </row>
    <row r="406" spans="1:15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  <c r="O406" s="4">
        <f>Orders_Cleaned[[#This Row],[Quantity]]*Orders_Cleaned[[#This Row],[UnitPrice]]</f>
        <v>198.2</v>
      </c>
    </row>
    <row r="407" spans="1:15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  <c r="O407" s="4">
        <f>Orders_Cleaned[[#This Row],[Quantity]]*Orders_Cleaned[[#This Row],[UnitPrice]]</f>
        <v>1807.88</v>
      </c>
    </row>
    <row r="408" spans="1:15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  <c r="O408" s="4">
        <f>Orders_Cleaned[[#This Row],[Quantity]]*Orders_Cleaned[[#This Row],[UnitPrice]]</f>
        <v>264.39999999999998</v>
      </c>
    </row>
    <row r="409" spans="1:15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  <c r="O409" s="4">
        <f>Orders_Cleaned[[#This Row],[Quantity]]*Orders_Cleaned[[#This Row],[UnitPrice]]</f>
        <v>2189.2800000000002</v>
      </c>
    </row>
    <row r="410" spans="1:15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  <c r="O410" s="4">
        <f>Orders_Cleaned[[#This Row],[Quantity]]*Orders_Cleaned[[#This Row],[UnitPrice]]</f>
        <v>1237.5899999999999</v>
      </c>
    </row>
    <row r="411" spans="1:15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  <c r="O411" s="4">
        <f>Orders_Cleaned[[#This Row],[Quantity]]*Orders_Cleaned[[#This Row],[UnitPrice]]</f>
        <v>420.65</v>
      </c>
    </row>
    <row r="412" spans="1:15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  <c r="O412" s="4">
        <f>Orders_Cleaned[[#This Row],[Quantity]]*Orders_Cleaned[[#This Row],[UnitPrice]]</f>
        <v>1036.46</v>
      </c>
    </row>
    <row r="413" spans="1:15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  <c r="O413" s="4">
        <f>Orders_Cleaned[[#This Row],[Quantity]]*Orders_Cleaned[[#This Row],[UnitPrice]]</f>
        <v>79.02</v>
      </c>
    </row>
    <row r="414" spans="1:15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  <c r="O414" s="4">
        <f>Orders_Cleaned[[#This Row],[Quantity]]*Orders_Cleaned[[#This Row],[UnitPrice]]</f>
        <v>665.05</v>
      </c>
    </row>
    <row r="415" spans="1:15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  <c r="O415" s="4">
        <f>Orders_Cleaned[[#This Row],[Quantity]]*Orders_Cleaned[[#This Row],[UnitPrice]]</f>
        <v>118.8</v>
      </c>
    </row>
    <row r="416" spans="1:15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  <c r="O416" s="4">
        <f>Orders_Cleaned[[#This Row],[Quantity]]*Orders_Cleaned[[#This Row],[UnitPrice]]</f>
        <v>279.14</v>
      </c>
    </row>
    <row r="417" spans="1:15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  <c r="O417" s="4">
        <f>Orders_Cleaned[[#This Row],[Quantity]]*Orders_Cleaned[[#This Row],[UnitPrice]]</f>
        <v>184.15</v>
      </c>
    </row>
    <row r="418" spans="1:15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  <c r="O418" s="4">
        <f>Orders_Cleaned[[#This Row],[Quantity]]*Orders_Cleaned[[#This Row],[UnitPrice]]</f>
        <v>1288.0999999999999</v>
      </c>
    </row>
    <row r="419" spans="1:15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  <c r="O419" s="4">
        <f>Orders_Cleaned[[#This Row],[Quantity]]*Orders_Cleaned[[#This Row],[UnitPrice]]</f>
        <v>277.04999999999995</v>
      </c>
    </row>
    <row r="420" spans="1:15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  <c r="O420" s="4">
        <f>Orders_Cleaned[[#This Row],[Quantity]]*Orders_Cleaned[[#This Row],[UnitPrice]]</f>
        <v>310.93</v>
      </c>
    </row>
    <row r="421" spans="1:15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  <c r="O421" s="4">
        <f>Orders_Cleaned[[#This Row],[Quantity]]*Orders_Cleaned[[#This Row],[UnitPrice]]</f>
        <v>433.32</v>
      </c>
    </row>
    <row r="422" spans="1:15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  <c r="O422" s="4">
        <f>Orders_Cleaned[[#This Row],[Quantity]]*Orders_Cleaned[[#This Row],[UnitPrice]]</f>
        <v>452.7</v>
      </c>
    </row>
    <row r="423" spans="1:15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  <c r="O423" s="4">
        <f>Orders_Cleaned[[#This Row],[Quantity]]*Orders_Cleaned[[#This Row],[UnitPrice]]</f>
        <v>576.41999999999996</v>
      </c>
    </row>
    <row r="424" spans="1:15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  <c r="O424" s="4">
        <f>Orders_Cleaned[[#This Row],[Quantity]]*Orders_Cleaned[[#This Row],[UnitPrice]]</f>
        <v>826.4</v>
      </c>
    </row>
    <row r="425" spans="1:15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  <c r="O425" s="4">
        <f>Orders_Cleaned[[#This Row],[Quantity]]*Orders_Cleaned[[#This Row],[UnitPrice]]</f>
        <v>2740.8</v>
      </c>
    </row>
    <row r="426" spans="1:15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  <c r="O426" s="4">
        <f>Orders_Cleaned[[#This Row],[Quantity]]*Orders_Cleaned[[#This Row],[UnitPrice]]</f>
        <v>114.7</v>
      </c>
    </row>
    <row r="427" spans="1:15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  <c r="O427" s="4">
        <f>Orders_Cleaned[[#This Row],[Quantity]]*Orders_Cleaned[[#This Row],[UnitPrice]]</f>
        <v>603.76</v>
      </c>
    </row>
    <row r="428" spans="1:15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  <c r="O428" s="4">
        <f>Orders_Cleaned[[#This Row],[Quantity]]*Orders_Cleaned[[#This Row],[UnitPrice]]</f>
        <v>287.25</v>
      </c>
    </row>
    <row r="429" spans="1:15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  <c r="O429" s="4">
        <f>Orders_Cleaned[[#This Row],[Quantity]]*Orders_Cleaned[[#This Row],[UnitPrice]]</f>
        <v>161.24</v>
      </c>
    </row>
    <row r="430" spans="1:15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  <c r="O430" s="4">
        <f>Orders_Cleaned[[#This Row],[Quantity]]*Orders_Cleaned[[#This Row],[UnitPrice]]</f>
        <v>1050.32</v>
      </c>
    </row>
    <row r="431" spans="1:15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  <c r="O431" s="4">
        <f>Orders_Cleaned[[#This Row],[Quantity]]*Orders_Cleaned[[#This Row],[UnitPrice]]</f>
        <v>2060.7600000000002</v>
      </c>
    </row>
    <row r="432" spans="1:15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  <c r="O432" s="4">
        <f>Orders_Cleaned[[#This Row],[Quantity]]*Orders_Cleaned[[#This Row],[UnitPrice]]</f>
        <v>450.07</v>
      </c>
    </row>
    <row r="433" spans="1:15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  <c r="O433" s="4">
        <f>Orders_Cleaned[[#This Row],[Quantity]]*Orders_Cleaned[[#This Row],[UnitPrice]]</f>
        <v>52.54</v>
      </c>
    </row>
    <row r="434" spans="1:15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  <c r="O434" s="4">
        <f>Orders_Cleaned[[#This Row],[Quantity]]*Orders_Cleaned[[#This Row],[UnitPrice]]</f>
        <v>848.64</v>
      </c>
    </row>
    <row r="435" spans="1:15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  <c r="O435" s="4">
        <f>Orders_Cleaned[[#This Row],[Quantity]]*Orders_Cleaned[[#This Row],[UnitPrice]]</f>
        <v>1894.92</v>
      </c>
    </row>
    <row r="436" spans="1:15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  <c r="O436" s="4">
        <f>Orders_Cleaned[[#This Row],[Quantity]]*Orders_Cleaned[[#This Row],[UnitPrice]]</f>
        <v>1638.4</v>
      </c>
    </row>
    <row r="437" spans="1:15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  <c r="O437" s="4">
        <f>Orders_Cleaned[[#This Row],[Quantity]]*Orders_Cleaned[[#This Row],[UnitPrice]]</f>
        <v>414.47</v>
      </c>
    </row>
    <row r="438" spans="1:15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  <c r="O438" s="4">
        <f>Orders_Cleaned[[#This Row],[Quantity]]*Orders_Cleaned[[#This Row],[UnitPrice]]</f>
        <v>885.32</v>
      </c>
    </row>
    <row r="439" spans="1:15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  <c r="O439" s="4">
        <f>Orders_Cleaned[[#This Row],[Quantity]]*Orders_Cleaned[[#This Row],[UnitPrice]]</f>
        <v>512.39</v>
      </c>
    </row>
    <row r="440" spans="1:15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  <c r="O440" s="4">
        <f>Orders_Cleaned[[#This Row],[Quantity]]*Orders_Cleaned[[#This Row],[UnitPrice]]</f>
        <v>1378.02</v>
      </c>
    </row>
    <row r="441" spans="1:15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  <c r="O441" s="4">
        <f>Orders_Cleaned[[#This Row],[Quantity]]*Orders_Cleaned[[#This Row],[UnitPrice]]</f>
        <v>146.32</v>
      </c>
    </row>
    <row r="442" spans="1:15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  <c r="O442" s="4">
        <f>Orders_Cleaned[[#This Row],[Quantity]]*Orders_Cleaned[[#This Row],[UnitPrice]]</f>
        <v>334.4</v>
      </c>
    </row>
    <row r="443" spans="1:15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  <c r="O443" s="4">
        <f>Orders_Cleaned[[#This Row],[Quantity]]*Orders_Cleaned[[#This Row],[UnitPrice]]</f>
        <v>657.08</v>
      </c>
    </row>
    <row r="444" spans="1:15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  <c r="O444" s="4">
        <f>Orders_Cleaned[[#This Row],[Quantity]]*Orders_Cleaned[[#This Row],[UnitPrice]]</f>
        <v>1574.7</v>
      </c>
    </row>
    <row r="445" spans="1:15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  <c r="O445" s="4">
        <f>Orders_Cleaned[[#This Row],[Quantity]]*Orders_Cleaned[[#This Row],[UnitPrice]]</f>
        <v>139.28</v>
      </c>
    </row>
    <row r="446" spans="1:15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  <c r="O446" s="4">
        <f>Orders_Cleaned[[#This Row],[Quantity]]*Orders_Cleaned[[#This Row],[UnitPrice]]</f>
        <v>135.16999999999999</v>
      </c>
    </row>
    <row r="447" spans="1:15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  <c r="O447" s="4">
        <f>Orders_Cleaned[[#This Row],[Quantity]]*Orders_Cleaned[[#This Row],[UnitPrice]]</f>
        <v>487.21</v>
      </c>
    </row>
    <row r="448" spans="1:15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  <c r="O448" s="4">
        <f>Orders_Cleaned[[#This Row],[Quantity]]*Orders_Cleaned[[#This Row],[UnitPrice]]</f>
        <v>2547.9</v>
      </c>
    </row>
    <row r="449" spans="1:15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  <c r="O449" s="4">
        <f>Orders_Cleaned[[#This Row],[Quantity]]*Orders_Cleaned[[#This Row],[UnitPrice]]</f>
        <v>833.62</v>
      </c>
    </row>
    <row r="450" spans="1:15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  <c r="O450" s="4">
        <f>Orders_Cleaned[[#This Row],[Quantity]]*Orders_Cleaned[[#This Row],[UnitPrice]]</f>
        <v>320</v>
      </c>
    </row>
    <row r="451" spans="1:15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  <c r="O451" s="4">
        <f>Orders_Cleaned[[#This Row],[Quantity]]*Orders_Cleaned[[#This Row],[UnitPrice]]</f>
        <v>759.15000000000009</v>
      </c>
    </row>
    <row r="452" spans="1:15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  <c r="O452" s="4">
        <f>Orders_Cleaned[[#This Row],[Quantity]]*Orders_Cleaned[[#This Row],[UnitPrice]]</f>
        <v>3075.5</v>
      </c>
    </row>
    <row r="453" spans="1:15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  <c r="O453" s="4">
        <f>Orders_Cleaned[[#This Row],[Quantity]]*Orders_Cleaned[[#This Row],[UnitPrice]]</f>
        <v>183.18</v>
      </c>
    </row>
    <row r="454" spans="1:15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  <c r="O454" s="4">
        <f>Orders_Cleaned[[#This Row],[Quantity]]*Orders_Cleaned[[#This Row],[UnitPrice]]</f>
        <v>75.78</v>
      </c>
    </row>
    <row r="455" spans="1:15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  <c r="O455" s="4">
        <f>Orders_Cleaned[[#This Row],[Quantity]]*Orders_Cleaned[[#This Row],[UnitPrice]]</f>
        <v>675.57</v>
      </c>
    </row>
    <row r="456" spans="1:15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  <c r="O456" s="4">
        <f>Orders_Cleaned[[#This Row],[Quantity]]*Orders_Cleaned[[#This Row],[UnitPrice]]</f>
        <v>109.29</v>
      </c>
    </row>
    <row r="457" spans="1:15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  <c r="O457" s="4">
        <f>Orders_Cleaned[[#This Row],[Quantity]]*Orders_Cleaned[[#This Row],[UnitPrice]]</f>
        <v>639.83000000000004</v>
      </c>
    </row>
    <row r="458" spans="1:15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  <c r="O458" s="4">
        <f>Orders_Cleaned[[#This Row],[Quantity]]*Orders_Cleaned[[#This Row],[UnitPrice]]</f>
        <v>314.05</v>
      </c>
    </row>
    <row r="459" spans="1:15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  <c r="O459" s="4">
        <f>Orders_Cleaned[[#This Row],[Quantity]]*Orders_Cleaned[[#This Row],[UnitPrice]]</f>
        <v>2463.3200000000002</v>
      </c>
    </row>
    <row r="460" spans="1:15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  <c r="O460" s="4">
        <f>Orders_Cleaned[[#This Row],[Quantity]]*Orders_Cleaned[[#This Row],[UnitPrice]]</f>
        <v>2042.32</v>
      </c>
    </row>
    <row r="461" spans="1:15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  <c r="O461" s="4">
        <f>Orders_Cleaned[[#This Row],[Quantity]]*Orders_Cleaned[[#This Row],[UnitPrice]]</f>
        <v>334.39</v>
      </c>
    </row>
    <row r="462" spans="1:15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  <c r="O462" s="4">
        <f>Orders_Cleaned[[#This Row],[Quantity]]*Orders_Cleaned[[#This Row],[UnitPrice]]</f>
        <v>144.25</v>
      </c>
    </row>
    <row r="463" spans="1:15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  <c r="O463" s="4">
        <f>Orders_Cleaned[[#This Row],[Quantity]]*Orders_Cleaned[[#This Row],[UnitPrice]]</f>
        <v>401.82</v>
      </c>
    </row>
    <row r="464" spans="1:15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  <c r="O464" s="4">
        <f>Orders_Cleaned[[#This Row],[Quantity]]*Orders_Cleaned[[#This Row],[UnitPrice]]</f>
        <v>252.68</v>
      </c>
    </row>
    <row r="465" spans="1:15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  <c r="O465" s="4">
        <f>Orders_Cleaned[[#This Row],[Quantity]]*Orders_Cleaned[[#This Row],[UnitPrice]]</f>
        <v>3313.8999999999996</v>
      </c>
    </row>
    <row r="466" spans="1:15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  <c r="O466" s="4">
        <f>Orders_Cleaned[[#This Row],[Quantity]]*Orders_Cleaned[[#This Row],[UnitPrice]]</f>
        <v>1737.68</v>
      </c>
    </row>
    <row r="467" spans="1:15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  <c r="O467" s="4">
        <f>Orders_Cleaned[[#This Row],[Quantity]]*Orders_Cleaned[[#This Row],[UnitPrice]]</f>
        <v>2567.4499999999998</v>
      </c>
    </row>
    <row r="468" spans="1:15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  <c r="O468" s="4">
        <f>Orders_Cleaned[[#This Row],[Quantity]]*Orders_Cleaned[[#This Row],[UnitPrice]]</f>
        <v>432.47</v>
      </c>
    </row>
    <row r="469" spans="1:15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  <c r="O469" s="4">
        <f>Orders_Cleaned[[#This Row],[Quantity]]*Orders_Cleaned[[#This Row],[UnitPrice]]</f>
        <v>45.94</v>
      </c>
    </row>
    <row r="470" spans="1:15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  <c r="O470" s="4">
        <f>Orders_Cleaned[[#This Row],[Quantity]]*Orders_Cleaned[[#This Row],[UnitPrice]]</f>
        <v>418.36</v>
      </c>
    </row>
    <row r="471" spans="1:15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  <c r="O471" s="4">
        <f>Orders_Cleaned[[#This Row],[Quantity]]*Orders_Cleaned[[#This Row],[UnitPrice]]</f>
        <v>3384.9</v>
      </c>
    </row>
    <row r="472" spans="1:15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  <c r="O472" s="4">
        <f>Orders_Cleaned[[#This Row],[Quantity]]*Orders_Cleaned[[#This Row],[UnitPrice]]</f>
        <v>1054.48</v>
      </c>
    </row>
    <row r="473" spans="1:15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  <c r="O473" s="4">
        <f>Orders_Cleaned[[#This Row],[Quantity]]*Orders_Cleaned[[#This Row],[UnitPrice]]</f>
        <v>2756.35</v>
      </c>
    </row>
    <row r="474" spans="1:15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  <c r="O474" s="4">
        <f>Orders_Cleaned[[#This Row],[Quantity]]*Orders_Cleaned[[#This Row],[UnitPrice]]</f>
        <v>1524.3600000000001</v>
      </c>
    </row>
    <row r="475" spans="1:15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  <c r="O475" s="4">
        <f>Orders_Cleaned[[#This Row],[Quantity]]*Orders_Cleaned[[#This Row],[UnitPrice]]</f>
        <v>29.86</v>
      </c>
    </row>
    <row r="476" spans="1:15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  <c r="O476" s="4">
        <f>Orders_Cleaned[[#This Row],[Quantity]]*Orders_Cleaned[[#This Row],[UnitPrice]]</f>
        <v>688.02</v>
      </c>
    </row>
    <row r="477" spans="1:15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  <c r="O477" s="4">
        <f>Orders_Cleaned[[#This Row],[Quantity]]*Orders_Cleaned[[#This Row],[UnitPrice]]</f>
        <v>877.24</v>
      </c>
    </row>
    <row r="478" spans="1:15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  <c r="O478" s="4">
        <f>Orders_Cleaned[[#This Row],[Quantity]]*Orders_Cleaned[[#This Row],[UnitPrice]]</f>
        <v>1027.18</v>
      </c>
    </row>
    <row r="479" spans="1:15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  <c r="O479" s="4">
        <f>Orders_Cleaned[[#This Row],[Quantity]]*Orders_Cleaned[[#This Row],[UnitPrice]]</f>
        <v>507.48</v>
      </c>
    </row>
    <row r="480" spans="1:15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  <c r="O480" s="4">
        <f>Orders_Cleaned[[#This Row],[Quantity]]*Orders_Cleaned[[#This Row],[UnitPrice]]</f>
        <v>188.31</v>
      </c>
    </row>
    <row r="481" spans="1:15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  <c r="O481" s="4">
        <f>Orders_Cleaned[[#This Row],[Quantity]]*Orders_Cleaned[[#This Row],[UnitPrice]]</f>
        <v>101.16</v>
      </c>
    </row>
    <row r="482" spans="1:15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  <c r="O482" s="4">
        <f>Orders_Cleaned[[#This Row],[Quantity]]*Orders_Cleaned[[#This Row],[UnitPrice]]</f>
        <v>335.1</v>
      </c>
    </row>
    <row r="483" spans="1:15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  <c r="O483" s="4">
        <f>Orders_Cleaned[[#This Row],[Quantity]]*Orders_Cleaned[[#This Row],[UnitPrice]]</f>
        <v>1939.4</v>
      </c>
    </row>
    <row r="484" spans="1:15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  <c r="O484" s="4">
        <f>Orders_Cleaned[[#This Row],[Quantity]]*Orders_Cleaned[[#This Row],[UnitPrice]]</f>
        <v>1144.23</v>
      </c>
    </row>
    <row r="485" spans="1:15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  <c r="O485" s="4">
        <f>Orders_Cleaned[[#This Row],[Quantity]]*Orders_Cleaned[[#This Row],[UnitPrice]]</f>
        <v>1739.6000000000001</v>
      </c>
    </row>
    <row r="486" spans="1:15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  <c r="O486" s="4">
        <f>Orders_Cleaned[[#This Row],[Quantity]]*Orders_Cleaned[[#This Row],[UnitPrice]]</f>
        <v>60.04</v>
      </c>
    </row>
    <row r="487" spans="1:15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  <c r="O487" s="4">
        <f>Orders_Cleaned[[#This Row],[Quantity]]*Orders_Cleaned[[#This Row],[UnitPrice]]</f>
        <v>1214.3700000000001</v>
      </c>
    </row>
    <row r="488" spans="1:15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  <c r="O488" s="4">
        <f>Orders_Cleaned[[#This Row],[Quantity]]*Orders_Cleaned[[#This Row],[UnitPrice]]</f>
        <v>2445.04</v>
      </c>
    </row>
    <row r="489" spans="1:15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  <c r="O489" s="4">
        <f>Orders_Cleaned[[#This Row],[Quantity]]*Orders_Cleaned[[#This Row],[UnitPrice]]</f>
        <v>1039.56</v>
      </c>
    </row>
    <row r="490" spans="1:15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  <c r="O490" s="4">
        <f>Orders_Cleaned[[#This Row],[Quantity]]*Orders_Cleaned[[#This Row],[UnitPrice]]</f>
        <v>36.65</v>
      </c>
    </row>
    <row r="491" spans="1:15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  <c r="O491" s="4">
        <f>Orders_Cleaned[[#This Row],[Quantity]]*Orders_Cleaned[[#This Row],[UnitPrice]]</f>
        <v>448.02</v>
      </c>
    </row>
    <row r="492" spans="1:15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  <c r="O492" s="4">
        <f>Orders_Cleaned[[#This Row],[Quantity]]*Orders_Cleaned[[#This Row],[UnitPrice]]</f>
        <v>2339.0500000000002</v>
      </c>
    </row>
    <row r="493" spans="1:15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  <c r="O493" s="4">
        <f>Orders_Cleaned[[#This Row],[Quantity]]*Orders_Cleaned[[#This Row],[UnitPrice]]</f>
        <v>2103.5</v>
      </c>
    </row>
    <row r="494" spans="1:15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  <c r="O494" s="4">
        <f>Orders_Cleaned[[#This Row],[Quantity]]*Orders_Cleaned[[#This Row],[UnitPrice]]</f>
        <v>3032.6</v>
      </c>
    </row>
    <row r="495" spans="1:15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  <c r="O495" s="4">
        <f>Orders_Cleaned[[#This Row],[Quantity]]*Orders_Cleaned[[#This Row],[UnitPrice]]</f>
        <v>420.26</v>
      </c>
    </row>
    <row r="496" spans="1:15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  <c r="O496" s="4">
        <f>Orders_Cleaned[[#This Row],[Quantity]]*Orders_Cleaned[[#This Row],[UnitPrice]]</f>
        <v>1517.3700000000001</v>
      </c>
    </row>
    <row r="497" spans="1:15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  <c r="O497" s="4">
        <f>Orders_Cleaned[[#This Row],[Quantity]]*Orders_Cleaned[[#This Row],[UnitPrice]]</f>
        <v>1974.92</v>
      </c>
    </row>
    <row r="498" spans="1:15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  <c r="O498" s="4">
        <f>Orders_Cleaned[[#This Row],[Quantity]]*Orders_Cleaned[[#This Row],[UnitPrice]]</f>
        <v>603.63</v>
      </c>
    </row>
    <row r="499" spans="1:15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  <c r="O499" s="4">
        <f>Orders_Cleaned[[#This Row],[Quantity]]*Orders_Cleaned[[#This Row],[UnitPrice]]</f>
        <v>336.87</v>
      </c>
    </row>
    <row r="500" spans="1:15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  <c r="O500" s="4">
        <f>Orders_Cleaned[[#This Row],[Quantity]]*Orders_Cleaned[[#This Row],[UnitPrice]]</f>
        <v>530.24</v>
      </c>
    </row>
    <row r="501" spans="1:15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  <c r="O501" s="4">
        <f>Orders_Cleaned[[#This Row],[Quantity]]*Orders_Cleaned[[#This Row],[UnitPrice]]</f>
        <v>1618.38</v>
      </c>
    </row>
    <row r="502" spans="1:15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  <c r="O502" s="4">
        <f>Orders_Cleaned[[#This Row],[Quantity]]*Orders_Cleaned[[#This Row],[UnitPrice]]</f>
        <v>2542.9499999999998</v>
      </c>
    </row>
    <row r="503" spans="1:15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  <c r="O503" s="4">
        <f>Orders_Cleaned[[#This Row],[Quantity]]*Orders_Cleaned[[#This Row],[UnitPrice]]</f>
        <v>813.84</v>
      </c>
    </row>
    <row r="504" spans="1:15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  <c r="O504" s="4">
        <f>Orders_Cleaned[[#This Row],[Quantity]]*Orders_Cleaned[[#This Row],[UnitPrice]]</f>
        <v>1695.75</v>
      </c>
    </row>
    <row r="505" spans="1:15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  <c r="O505" s="4">
        <f>Orders_Cleaned[[#This Row],[Quantity]]*Orders_Cleaned[[#This Row],[UnitPrice]]</f>
        <v>410.52</v>
      </c>
    </row>
    <row r="506" spans="1:15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  <c r="O506" s="4">
        <f>Orders_Cleaned[[#This Row],[Quantity]]*Orders_Cleaned[[#This Row],[UnitPrice]]</f>
        <v>929</v>
      </c>
    </row>
    <row r="507" spans="1:15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  <c r="O507" s="4">
        <f>Orders_Cleaned[[#This Row],[Quantity]]*Orders_Cleaned[[#This Row],[UnitPrice]]</f>
        <v>869.94</v>
      </c>
    </row>
    <row r="508" spans="1:15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  <c r="O508" s="4">
        <f>Orders_Cleaned[[#This Row],[Quantity]]*Orders_Cleaned[[#This Row],[UnitPrice]]</f>
        <v>87.34</v>
      </c>
    </row>
    <row r="509" spans="1:15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  <c r="O509" s="4">
        <f>Orders_Cleaned[[#This Row],[Quantity]]*Orders_Cleaned[[#This Row],[UnitPrice]]</f>
        <v>171.59</v>
      </c>
    </row>
    <row r="510" spans="1:15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  <c r="O510" s="4">
        <f>Orders_Cleaned[[#This Row],[Quantity]]*Orders_Cleaned[[#This Row],[UnitPrice]]</f>
        <v>558.27</v>
      </c>
    </row>
    <row r="511" spans="1:15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  <c r="O511" s="4">
        <f>Orders_Cleaned[[#This Row],[Quantity]]*Orders_Cleaned[[#This Row],[UnitPrice]]</f>
        <v>850.06</v>
      </c>
    </row>
    <row r="512" spans="1:15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  <c r="O512" s="4">
        <f>Orders_Cleaned[[#This Row],[Quantity]]*Orders_Cleaned[[#This Row],[UnitPrice]]</f>
        <v>376.76</v>
      </c>
    </row>
    <row r="513" spans="1:15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  <c r="O513" s="4">
        <f>Orders_Cleaned[[#This Row],[Quantity]]*Orders_Cleaned[[#This Row],[UnitPrice]]</f>
        <v>2876.2</v>
      </c>
    </row>
    <row r="514" spans="1:15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  <c r="O514" s="4">
        <f>Orders_Cleaned[[#This Row],[Quantity]]*Orders_Cleaned[[#This Row],[UnitPrice]]</f>
        <v>1704.06</v>
      </c>
    </row>
    <row r="515" spans="1:15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  <c r="O515" s="4">
        <f>Orders_Cleaned[[#This Row],[Quantity]]*Orders_Cleaned[[#This Row],[UnitPrice]]</f>
        <v>284.64</v>
      </c>
    </row>
    <row r="516" spans="1:15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  <c r="O516" s="4">
        <f>Orders_Cleaned[[#This Row],[Quantity]]*Orders_Cleaned[[#This Row],[UnitPrice]]</f>
        <v>912.44999999999993</v>
      </c>
    </row>
    <row r="517" spans="1:15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  <c r="O517" s="4">
        <f>Orders_Cleaned[[#This Row],[Quantity]]*Orders_Cleaned[[#This Row],[UnitPrice]]</f>
        <v>1660.56</v>
      </c>
    </row>
    <row r="518" spans="1:15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  <c r="O518" s="4">
        <f>Orders_Cleaned[[#This Row],[Quantity]]*Orders_Cleaned[[#This Row],[UnitPrice]]</f>
        <v>500.97</v>
      </c>
    </row>
    <row r="519" spans="1:15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  <c r="O519" s="4">
        <f>Orders_Cleaned[[#This Row],[Quantity]]*Orders_Cleaned[[#This Row],[UnitPrice]]</f>
        <v>793.4</v>
      </c>
    </row>
    <row r="520" spans="1:15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  <c r="O520" s="4">
        <f>Orders_Cleaned[[#This Row],[Quantity]]*Orders_Cleaned[[#This Row],[UnitPrice]]</f>
        <v>1614.32</v>
      </c>
    </row>
    <row r="521" spans="1:15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  <c r="O521" s="4">
        <f>Orders_Cleaned[[#This Row],[Quantity]]*Orders_Cleaned[[#This Row],[UnitPrice]]</f>
        <v>1857.16</v>
      </c>
    </row>
    <row r="522" spans="1:15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  <c r="O522" s="4">
        <f>Orders_Cleaned[[#This Row],[Quantity]]*Orders_Cleaned[[#This Row],[UnitPrice]]</f>
        <v>1907.94</v>
      </c>
    </row>
    <row r="523" spans="1:15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  <c r="O523" s="4">
        <f>Orders_Cleaned[[#This Row],[Quantity]]*Orders_Cleaned[[#This Row],[UnitPrice]]</f>
        <v>528.05999999999995</v>
      </c>
    </row>
    <row r="524" spans="1:15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  <c r="O524" s="4">
        <f>Orders_Cleaned[[#This Row],[Quantity]]*Orders_Cleaned[[#This Row],[UnitPrice]]</f>
        <v>515.32000000000005</v>
      </c>
    </row>
    <row r="525" spans="1:15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  <c r="O525" s="4">
        <f>Orders_Cleaned[[#This Row],[Quantity]]*Orders_Cleaned[[#This Row],[UnitPrice]]</f>
        <v>2631.16</v>
      </c>
    </row>
    <row r="526" spans="1:15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  <c r="O526" s="4">
        <f>Orders_Cleaned[[#This Row],[Quantity]]*Orders_Cleaned[[#This Row],[UnitPrice]]</f>
        <v>153</v>
      </c>
    </row>
    <row r="527" spans="1:15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  <c r="O527" s="4">
        <f>Orders_Cleaned[[#This Row],[Quantity]]*Orders_Cleaned[[#This Row],[UnitPrice]]</f>
        <v>668.48</v>
      </c>
    </row>
    <row r="528" spans="1:15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  <c r="O528" s="4">
        <f>Orders_Cleaned[[#This Row],[Quantity]]*Orders_Cleaned[[#This Row],[UnitPrice]]</f>
        <v>93</v>
      </c>
    </row>
    <row r="529" spans="1:15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  <c r="O529" s="4">
        <f>Orders_Cleaned[[#This Row],[Quantity]]*Orders_Cleaned[[#This Row],[UnitPrice]]</f>
        <v>3267.3500000000004</v>
      </c>
    </row>
    <row r="530" spans="1:15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  <c r="O530" s="4">
        <f>Orders_Cleaned[[#This Row],[Quantity]]*Orders_Cleaned[[#This Row],[UnitPrice]]</f>
        <v>628.89</v>
      </c>
    </row>
    <row r="531" spans="1:15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  <c r="O531" s="4">
        <f>Orders_Cleaned[[#This Row],[Quantity]]*Orders_Cleaned[[#This Row],[UnitPrice]]</f>
        <v>1350.2</v>
      </c>
    </row>
    <row r="532" spans="1:15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  <c r="O532" s="4">
        <f>Orders_Cleaned[[#This Row],[Quantity]]*Orders_Cleaned[[#This Row],[UnitPrice]]</f>
        <v>357.64</v>
      </c>
    </row>
    <row r="533" spans="1:15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  <c r="O533" s="4">
        <f>Orders_Cleaned[[#This Row],[Quantity]]*Orders_Cleaned[[#This Row],[UnitPrice]]</f>
        <v>1600.05</v>
      </c>
    </row>
    <row r="534" spans="1:15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  <c r="O534" s="4">
        <f>Orders_Cleaned[[#This Row],[Quantity]]*Orders_Cleaned[[#This Row],[UnitPrice]]</f>
        <v>82</v>
      </c>
    </row>
    <row r="535" spans="1:15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  <c r="O535" s="4">
        <f>Orders_Cleaned[[#This Row],[Quantity]]*Orders_Cleaned[[#This Row],[UnitPrice]]</f>
        <v>565.85</v>
      </c>
    </row>
    <row r="536" spans="1:15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  <c r="O536" s="4">
        <f>Orders_Cleaned[[#This Row],[Quantity]]*Orders_Cleaned[[#This Row],[UnitPrice]]</f>
        <v>1945.77</v>
      </c>
    </row>
    <row r="537" spans="1:15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  <c r="O537" s="4">
        <f>Orders_Cleaned[[#This Row],[Quantity]]*Orders_Cleaned[[#This Row],[UnitPrice]]</f>
        <v>204.36</v>
      </c>
    </row>
    <row r="538" spans="1:15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  <c r="O538" s="4">
        <f>Orders_Cleaned[[#This Row],[Quantity]]*Orders_Cleaned[[#This Row],[UnitPrice]]</f>
        <v>616.1</v>
      </c>
    </row>
    <row r="539" spans="1:15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  <c r="O539" s="4">
        <f>Orders_Cleaned[[#This Row],[Quantity]]*Orders_Cleaned[[#This Row],[UnitPrice]]</f>
        <v>742.41</v>
      </c>
    </row>
    <row r="540" spans="1:15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  <c r="O540" s="4">
        <f>Orders_Cleaned[[#This Row],[Quantity]]*Orders_Cleaned[[#This Row],[UnitPrice]]</f>
        <v>1472.22</v>
      </c>
    </row>
    <row r="541" spans="1:15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  <c r="O541" s="4">
        <f>Orders_Cleaned[[#This Row],[Quantity]]*Orders_Cleaned[[#This Row],[UnitPrice]]</f>
        <v>1595.16</v>
      </c>
    </row>
    <row r="542" spans="1:15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  <c r="O542" s="4">
        <f>Orders_Cleaned[[#This Row],[Quantity]]*Orders_Cleaned[[#This Row],[UnitPrice]]</f>
        <v>3243.25</v>
      </c>
    </row>
    <row r="543" spans="1:15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  <c r="O543" s="4">
        <f>Orders_Cleaned[[#This Row],[Quantity]]*Orders_Cleaned[[#This Row],[UnitPrice]]</f>
        <v>2280.3000000000002</v>
      </c>
    </row>
    <row r="544" spans="1:15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  <c r="O544" s="4">
        <f>Orders_Cleaned[[#This Row],[Quantity]]*Orders_Cleaned[[#This Row],[UnitPrice]]</f>
        <v>17.98</v>
      </c>
    </row>
    <row r="545" spans="1:15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  <c r="O545" s="4">
        <f>Orders_Cleaned[[#This Row],[Quantity]]*Orders_Cleaned[[#This Row],[UnitPrice]]</f>
        <v>1349.3000000000002</v>
      </c>
    </row>
    <row r="546" spans="1:15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  <c r="O546" s="4">
        <f>Orders_Cleaned[[#This Row],[Quantity]]*Orders_Cleaned[[#This Row],[UnitPrice]]</f>
        <v>159.80000000000001</v>
      </c>
    </row>
    <row r="547" spans="1:15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  <c r="O547" s="4">
        <f>Orders_Cleaned[[#This Row],[Quantity]]*Orders_Cleaned[[#This Row],[UnitPrice]]</f>
        <v>196.94</v>
      </c>
    </row>
    <row r="548" spans="1:15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  <c r="O548" s="4">
        <f>Orders_Cleaned[[#This Row],[Quantity]]*Orders_Cleaned[[#This Row],[UnitPrice]]</f>
        <v>158.68</v>
      </c>
    </row>
    <row r="549" spans="1:15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  <c r="O549" s="4">
        <f>Orders_Cleaned[[#This Row],[Quantity]]*Orders_Cleaned[[#This Row],[UnitPrice]]</f>
        <v>613.98</v>
      </c>
    </row>
    <row r="550" spans="1:15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  <c r="O550" s="4">
        <f>Orders_Cleaned[[#This Row],[Quantity]]*Orders_Cleaned[[#This Row],[UnitPrice]]</f>
        <v>1278.3600000000001</v>
      </c>
    </row>
    <row r="551" spans="1:15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  <c r="O551" s="4">
        <f>Orders_Cleaned[[#This Row],[Quantity]]*Orders_Cleaned[[#This Row],[UnitPrice]]</f>
        <v>2519.52</v>
      </c>
    </row>
    <row r="552" spans="1:15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  <c r="O552" s="4">
        <f>Orders_Cleaned[[#This Row],[Quantity]]*Orders_Cleaned[[#This Row],[UnitPrice]]</f>
        <v>915.64</v>
      </c>
    </row>
    <row r="553" spans="1:15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  <c r="O553" s="4">
        <f>Orders_Cleaned[[#This Row],[Quantity]]*Orders_Cleaned[[#This Row],[UnitPrice]]</f>
        <v>120.98</v>
      </c>
    </row>
    <row r="554" spans="1:15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  <c r="O554" s="4">
        <f>Orders_Cleaned[[#This Row],[Quantity]]*Orders_Cleaned[[#This Row],[UnitPrice]]</f>
        <v>1700.72</v>
      </c>
    </row>
    <row r="555" spans="1:15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  <c r="O555" s="4">
        <f>Orders_Cleaned[[#This Row],[Quantity]]*Orders_Cleaned[[#This Row],[UnitPrice]]</f>
        <v>667.66</v>
      </c>
    </row>
    <row r="556" spans="1:15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  <c r="O556" s="4">
        <f>Orders_Cleaned[[#This Row],[Quantity]]*Orders_Cleaned[[#This Row],[UnitPrice]]</f>
        <v>985.8</v>
      </c>
    </row>
    <row r="557" spans="1:15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  <c r="O557" s="4">
        <f>Orders_Cleaned[[#This Row],[Quantity]]*Orders_Cleaned[[#This Row],[UnitPrice]]</f>
        <v>92.04</v>
      </c>
    </row>
    <row r="558" spans="1:15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  <c r="O558" s="4">
        <f>Orders_Cleaned[[#This Row],[Quantity]]*Orders_Cleaned[[#This Row],[UnitPrice]]</f>
        <v>654.27</v>
      </c>
    </row>
    <row r="559" spans="1:15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  <c r="O559" s="4">
        <f>Orders_Cleaned[[#This Row],[Quantity]]*Orders_Cleaned[[#This Row],[UnitPrice]]</f>
        <v>56.2</v>
      </c>
    </row>
    <row r="560" spans="1:15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  <c r="O560" s="4">
        <f>Orders_Cleaned[[#This Row],[Quantity]]*Orders_Cleaned[[#This Row],[UnitPrice]]</f>
        <v>2512.48</v>
      </c>
    </row>
    <row r="561" spans="1:15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  <c r="O561" s="4">
        <f>Orders_Cleaned[[#This Row],[Quantity]]*Orders_Cleaned[[#This Row],[UnitPrice]]</f>
        <v>472.20000000000005</v>
      </c>
    </row>
    <row r="562" spans="1:15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  <c r="O562" s="4">
        <f>Orders_Cleaned[[#This Row],[Quantity]]*Orders_Cleaned[[#This Row],[UnitPrice]]</f>
        <v>2355.4</v>
      </c>
    </row>
    <row r="563" spans="1:15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  <c r="O563" s="4">
        <f>Orders_Cleaned[[#This Row],[Quantity]]*Orders_Cleaned[[#This Row],[UnitPrice]]</f>
        <v>989.56</v>
      </c>
    </row>
    <row r="564" spans="1:15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  <c r="O564" s="4">
        <f>Orders_Cleaned[[#This Row],[Quantity]]*Orders_Cleaned[[#This Row],[UnitPrice]]</f>
        <v>1991.79</v>
      </c>
    </row>
    <row r="565" spans="1:15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  <c r="O565" s="4">
        <f>Orders_Cleaned[[#This Row],[Quantity]]*Orders_Cleaned[[#This Row],[UnitPrice]]</f>
        <v>132.68</v>
      </c>
    </row>
    <row r="566" spans="1:15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  <c r="O566" s="4">
        <f>Orders_Cleaned[[#This Row],[Quantity]]*Orders_Cleaned[[#This Row],[UnitPrice]]</f>
        <v>1821.3999999999999</v>
      </c>
    </row>
    <row r="567" spans="1:15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  <c r="O567" s="4">
        <f>Orders_Cleaned[[#This Row],[Quantity]]*Orders_Cleaned[[#This Row],[UnitPrice]]</f>
        <v>1539.9</v>
      </c>
    </row>
    <row r="568" spans="1:15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  <c r="O568" s="4">
        <f>Orders_Cleaned[[#This Row],[Quantity]]*Orders_Cleaned[[#This Row],[UnitPrice]]</f>
        <v>650.84</v>
      </c>
    </row>
    <row r="569" spans="1:15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  <c r="O569" s="4">
        <f>Orders_Cleaned[[#This Row],[Quantity]]*Orders_Cleaned[[#This Row],[UnitPrice]]</f>
        <v>2464.6999999999998</v>
      </c>
    </row>
    <row r="570" spans="1:15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  <c r="O570" s="4">
        <f>Orders_Cleaned[[#This Row],[Quantity]]*Orders_Cleaned[[#This Row],[UnitPrice]]</f>
        <v>687.98</v>
      </c>
    </row>
    <row r="571" spans="1:15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  <c r="O571" s="4">
        <f>Orders_Cleaned[[#This Row],[Quantity]]*Orders_Cleaned[[#This Row],[UnitPrice]]</f>
        <v>1253.4000000000001</v>
      </c>
    </row>
    <row r="572" spans="1:15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  <c r="O572" s="4">
        <f>Orders_Cleaned[[#This Row],[Quantity]]*Orders_Cleaned[[#This Row],[UnitPrice]]</f>
        <v>724.28</v>
      </c>
    </row>
    <row r="573" spans="1:15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  <c r="O573" s="4">
        <f>Orders_Cleaned[[#This Row],[Quantity]]*Orders_Cleaned[[#This Row],[UnitPrice]]</f>
        <v>214.08</v>
      </c>
    </row>
    <row r="574" spans="1:15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  <c r="O574" s="4">
        <f>Orders_Cleaned[[#This Row],[Quantity]]*Orders_Cleaned[[#This Row],[UnitPrice]]</f>
        <v>70.319999999999993</v>
      </c>
    </row>
    <row r="575" spans="1:15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  <c r="O575" s="4">
        <f>Orders_Cleaned[[#This Row],[Quantity]]*Orders_Cleaned[[#This Row],[UnitPrice]]</f>
        <v>2107.1</v>
      </c>
    </row>
    <row r="576" spans="1:15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  <c r="O576" s="4">
        <f>Orders_Cleaned[[#This Row],[Quantity]]*Orders_Cleaned[[#This Row],[UnitPrice]]</f>
        <v>1923.45</v>
      </c>
    </row>
    <row r="577" spans="1:15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  <c r="O577" s="4">
        <f>Orders_Cleaned[[#This Row],[Quantity]]*Orders_Cleaned[[#This Row],[UnitPrice]]</f>
        <v>2240.75</v>
      </c>
    </row>
    <row r="578" spans="1:15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  <c r="O578" s="4">
        <f>Orders_Cleaned[[#This Row],[Quantity]]*Orders_Cleaned[[#This Row],[UnitPrice]]</f>
        <v>395.4</v>
      </c>
    </row>
    <row r="579" spans="1:15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  <c r="O579" s="4">
        <f>Orders_Cleaned[[#This Row],[Quantity]]*Orders_Cleaned[[#This Row],[UnitPrice]]</f>
        <v>741.64</v>
      </c>
    </row>
    <row r="580" spans="1:15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  <c r="O580" s="4">
        <f>Orders_Cleaned[[#This Row],[Quantity]]*Orders_Cleaned[[#This Row],[UnitPrice]]</f>
        <v>2830.3500000000004</v>
      </c>
    </row>
    <row r="581" spans="1:15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  <c r="O581" s="4">
        <f>Orders_Cleaned[[#This Row],[Quantity]]*Orders_Cleaned[[#This Row],[UnitPrice]]</f>
        <v>375.76</v>
      </c>
    </row>
    <row r="582" spans="1:15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  <c r="O582" s="4">
        <f>Orders_Cleaned[[#This Row],[Quantity]]*Orders_Cleaned[[#This Row],[UnitPrice]]</f>
        <v>511.98</v>
      </c>
    </row>
    <row r="583" spans="1:15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  <c r="O583" s="4">
        <f>Orders_Cleaned[[#This Row],[Quantity]]*Orders_Cleaned[[#This Row],[UnitPrice]]</f>
        <v>627.34</v>
      </c>
    </row>
    <row r="584" spans="1:15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  <c r="O584" s="4">
        <f>Orders_Cleaned[[#This Row],[Quantity]]*Orders_Cleaned[[#This Row],[UnitPrice]]</f>
        <v>1422.42</v>
      </c>
    </row>
    <row r="585" spans="1:15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  <c r="O585" s="4">
        <f>Orders_Cleaned[[#This Row],[Quantity]]*Orders_Cleaned[[#This Row],[UnitPrice]]</f>
        <v>463.11</v>
      </c>
    </row>
    <row r="586" spans="1:15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  <c r="O586" s="4">
        <f>Orders_Cleaned[[#This Row],[Quantity]]*Orders_Cleaned[[#This Row],[UnitPrice]]</f>
        <v>580.20000000000005</v>
      </c>
    </row>
    <row r="587" spans="1:15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  <c r="O587" s="4">
        <f>Orders_Cleaned[[#This Row],[Quantity]]*Orders_Cleaned[[#This Row],[UnitPrice]]</f>
        <v>268.32</v>
      </c>
    </row>
    <row r="588" spans="1:15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  <c r="O588" s="4">
        <f>Orders_Cleaned[[#This Row],[Quantity]]*Orders_Cleaned[[#This Row],[UnitPrice]]</f>
        <v>522.08000000000004</v>
      </c>
    </row>
    <row r="589" spans="1:15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  <c r="O589" s="4">
        <f>Orders_Cleaned[[#This Row],[Quantity]]*Orders_Cleaned[[#This Row],[UnitPrice]]</f>
        <v>2573</v>
      </c>
    </row>
    <row r="590" spans="1:15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  <c r="O590" s="4">
        <f>Orders_Cleaned[[#This Row],[Quantity]]*Orders_Cleaned[[#This Row],[UnitPrice]]</f>
        <v>2311.2800000000002</v>
      </c>
    </row>
    <row r="591" spans="1:15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  <c r="O591" s="4">
        <f>Orders_Cleaned[[#This Row],[Quantity]]*Orders_Cleaned[[#This Row],[UnitPrice]]</f>
        <v>1001.6</v>
      </c>
    </row>
    <row r="592" spans="1:15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  <c r="O592" s="4">
        <f>Orders_Cleaned[[#This Row],[Quantity]]*Orders_Cleaned[[#This Row],[UnitPrice]]</f>
        <v>922.26</v>
      </c>
    </row>
    <row r="593" spans="1:15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  <c r="O593" s="4">
        <f>Orders_Cleaned[[#This Row],[Quantity]]*Orders_Cleaned[[#This Row],[UnitPrice]]</f>
        <v>605.28</v>
      </c>
    </row>
    <row r="594" spans="1:15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  <c r="O594" s="4">
        <f>Orders_Cleaned[[#This Row],[Quantity]]*Orders_Cleaned[[#This Row],[UnitPrice]]</f>
        <v>612.81000000000006</v>
      </c>
    </row>
    <row r="595" spans="1:15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  <c r="O595" s="4">
        <f>Orders_Cleaned[[#This Row],[Quantity]]*Orders_Cleaned[[#This Row],[UnitPrice]]</f>
        <v>489.8</v>
      </c>
    </row>
    <row r="596" spans="1:15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  <c r="O596" s="4">
        <f>Orders_Cleaned[[#This Row],[Quantity]]*Orders_Cleaned[[#This Row],[UnitPrice]]</f>
        <v>363.2</v>
      </c>
    </row>
    <row r="597" spans="1:15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  <c r="O597" s="4">
        <f>Orders_Cleaned[[#This Row],[Quantity]]*Orders_Cleaned[[#This Row],[UnitPrice]]</f>
        <v>770.32</v>
      </c>
    </row>
    <row r="598" spans="1:15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  <c r="O598" s="4">
        <f>Orders_Cleaned[[#This Row],[Quantity]]*Orders_Cleaned[[#This Row],[UnitPrice]]</f>
        <v>1819.23</v>
      </c>
    </row>
    <row r="599" spans="1:15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  <c r="O599" s="4">
        <f>Orders_Cleaned[[#This Row],[Quantity]]*Orders_Cleaned[[#This Row],[UnitPrice]]</f>
        <v>423.64</v>
      </c>
    </row>
    <row r="600" spans="1:15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  <c r="O600" s="4">
        <f>Orders_Cleaned[[#This Row],[Quantity]]*Orders_Cleaned[[#This Row],[UnitPrice]]</f>
        <v>2476.75</v>
      </c>
    </row>
    <row r="601" spans="1:15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  <c r="O601" s="4">
        <f>Orders_Cleaned[[#This Row],[Quantity]]*Orders_Cleaned[[#This Row],[UnitPrice]]</f>
        <v>1670.97</v>
      </c>
    </row>
    <row r="602" spans="1:15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  <c r="O602" s="4">
        <f>Orders_Cleaned[[#This Row],[Quantity]]*Orders_Cleaned[[#This Row],[UnitPrice]]</f>
        <v>72.31</v>
      </c>
    </row>
    <row r="603" spans="1:15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  <c r="O603" s="4">
        <f>Orders_Cleaned[[#This Row],[Quantity]]*Orders_Cleaned[[#This Row],[UnitPrice]]</f>
        <v>124.1</v>
      </c>
    </row>
    <row r="604" spans="1:15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  <c r="O604" s="4">
        <f>Orders_Cleaned[[#This Row],[Quantity]]*Orders_Cleaned[[#This Row],[UnitPrice]]</f>
        <v>104.16</v>
      </c>
    </row>
    <row r="605" spans="1:15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  <c r="O605" s="4">
        <f>Orders_Cleaned[[#This Row],[Quantity]]*Orders_Cleaned[[#This Row],[UnitPrice]]</f>
        <v>657.07</v>
      </c>
    </row>
    <row r="606" spans="1:15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  <c r="O606" s="4">
        <f>Orders_Cleaned[[#This Row],[Quantity]]*Orders_Cleaned[[#This Row],[UnitPrice]]</f>
        <v>97.859999999999985</v>
      </c>
    </row>
    <row r="607" spans="1:15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  <c r="O607" s="4">
        <f>Orders_Cleaned[[#This Row],[Quantity]]*Orders_Cleaned[[#This Row],[UnitPrice]]</f>
        <v>457.82</v>
      </c>
    </row>
    <row r="608" spans="1:15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  <c r="O608" s="4">
        <f>Orders_Cleaned[[#This Row],[Quantity]]*Orders_Cleaned[[#This Row],[UnitPrice]]</f>
        <v>824.25</v>
      </c>
    </row>
    <row r="609" spans="1:15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  <c r="O609" s="4">
        <f>Orders_Cleaned[[#This Row],[Quantity]]*Orders_Cleaned[[#This Row],[UnitPrice]]</f>
        <v>2536.1999999999998</v>
      </c>
    </row>
    <row r="610" spans="1:15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  <c r="O610" s="4">
        <f>Orders_Cleaned[[#This Row],[Quantity]]*Orders_Cleaned[[#This Row],[UnitPrice]]</f>
        <v>2715.7999999999997</v>
      </c>
    </row>
    <row r="611" spans="1:15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  <c r="O611" s="4">
        <f>Orders_Cleaned[[#This Row],[Quantity]]*Orders_Cleaned[[#This Row],[UnitPrice]]</f>
        <v>1347.3899999999999</v>
      </c>
    </row>
    <row r="612" spans="1:15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  <c r="O612" s="4">
        <f>Orders_Cleaned[[#This Row],[Quantity]]*Orders_Cleaned[[#This Row],[UnitPrice]]</f>
        <v>1948.1</v>
      </c>
    </row>
    <row r="613" spans="1:15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  <c r="O613" s="4">
        <f>Orders_Cleaned[[#This Row],[Quantity]]*Orders_Cleaned[[#This Row],[UnitPrice]]</f>
        <v>305.17</v>
      </c>
    </row>
    <row r="614" spans="1:15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  <c r="O614" s="4">
        <f>Orders_Cleaned[[#This Row],[Quantity]]*Orders_Cleaned[[#This Row],[UnitPrice]]</f>
        <v>1335.3600000000001</v>
      </c>
    </row>
    <row r="615" spans="1:15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  <c r="O615" s="4">
        <f>Orders_Cleaned[[#This Row],[Quantity]]*Orders_Cleaned[[#This Row],[UnitPrice]]</f>
        <v>460.72</v>
      </c>
    </row>
    <row r="616" spans="1:15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  <c r="O616" s="4">
        <f>Orders_Cleaned[[#This Row],[Quantity]]*Orders_Cleaned[[#This Row],[UnitPrice]]</f>
        <v>96.81</v>
      </c>
    </row>
    <row r="617" spans="1:15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  <c r="O617" s="4">
        <f>Orders_Cleaned[[#This Row],[Quantity]]*Orders_Cleaned[[#This Row],[UnitPrice]]</f>
        <v>2300.6999999999998</v>
      </c>
    </row>
    <row r="618" spans="1:15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  <c r="O618" s="4">
        <f>Orders_Cleaned[[#This Row],[Quantity]]*Orders_Cleaned[[#This Row],[UnitPrice]]</f>
        <v>1804.8000000000002</v>
      </c>
    </row>
    <row r="619" spans="1:15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  <c r="O619" s="4">
        <f>Orders_Cleaned[[#This Row],[Quantity]]*Orders_Cleaned[[#This Row],[UnitPrice]]</f>
        <v>553.41</v>
      </c>
    </row>
    <row r="620" spans="1:15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  <c r="O620" s="4">
        <f>Orders_Cleaned[[#This Row],[Quantity]]*Orders_Cleaned[[#This Row],[UnitPrice]]</f>
        <v>411.34</v>
      </c>
    </row>
    <row r="621" spans="1:15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  <c r="O621" s="4">
        <f>Orders_Cleaned[[#This Row],[Quantity]]*Orders_Cleaned[[#This Row],[UnitPrice]]</f>
        <v>532.89</v>
      </c>
    </row>
    <row r="622" spans="1:15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  <c r="O622" s="4">
        <f>Orders_Cleaned[[#This Row],[Quantity]]*Orders_Cleaned[[#This Row],[UnitPrice]]</f>
        <v>409.02</v>
      </c>
    </row>
    <row r="623" spans="1:15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  <c r="O623" s="4">
        <f>Orders_Cleaned[[#This Row],[Quantity]]*Orders_Cleaned[[#This Row],[UnitPrice]]</f>
        <v>2380.0500000000002</v>
      </c>
    </row>
    <row r="624" spans="1:15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  <c r="O624" s="4">
        <f>Orders_Cleaned[[#This Row],[Quantity]]*Orders_Cleaned[[#This Row],[UnitPrice]]</f>
        <v>1181.9000000000001</v>
      </c>
    </row>
    <row r="625" spans="1:15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  <c r="O625" s="4">
        <f>Orders_Cleaned[[#This Row],[Quantity]]*Orders_Cleaned[[#This Row],[UnitPrice]]</f>
        <v>1188</v>
      </c>
    </row>
    <row r="626" spans="1:15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  <c r="O626" s="4">
        <f>Orders_Cleaned[[#This Row],[Quantity]]*Orders_Cleaned[[#This Row],[UnitPrice]]</f>
        <v>1709.8</v>
      </c>
    </row>
    <row r="627" spans="1:15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  <c r="O627" s="4">
        <f>Orders_Cleaned[[#This Row],[Quantity]]*Orders_Cleaned[[#This Row],[UnitPrice]]</f>
        <v>672.89</v>
      </c>
    </row>
    <row r="628" spans="1:15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  <c r="O628" s="4">
        <f>Orders_Cleaned[[#This Row],[Quantity]]*Orders_Cleaned[[#This Row],[UnitPrice]]</f>
        <v>1314.96</v>
      </c>
    </row>
    <row r="629" spans="1:15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  <c r="O629" s="4">
        <f>Orders_Cleaned[[#This Row],[Quantity]]*Orders_Cleaned[[#This Row],[UnitPrice]]</f>
        <v>1496.04</v>
      </c>
    </row>
    <row r="630" spans="1:15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  <c r="O630" s="4">
        <f>Orders_Cleaned[[#This Row],[Quantity]]*Orders_Cleaned[[#This Row],[UnitPrice]]</f>
        <v>2793.15</v>
      </c>
    </row>
    <row r="631" spans="1:15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  <c r="O631" s="4">
        <f>Orders_Cleaned[[#This Row],[Quantity]]*Orders_Cleaned[[#This Row],[UnitPrice]]</f>
        <v>59.19</v>
      </c>
    </row>
    <row r="632" spans="1:15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  <c r="O632" s="4">
        <f>Orders_Cleaned[[#This Row],[Quantity]]*Orders_Cleaned[[#This Row],[UnitPrice]]</f>
        <v>1244.2</v>
      </c>
    </row>
    <row r="633" spans="1:15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  <c r="O633" s="4">
        <f>Orders_Cleaned[[#This Row],[Quantity]]*Orders_Cleaned[[#This Row],[UnitPrice]]</f>
        <v>138.32999999999998</v>
      </c>
    </row>
    <row r="634" spans="1:15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  <c r="O634" s="4">
        <f>Orders_Cleaned[[#This Row],[Quantity]]*Orders_Cleaned[[#This Row],[UnitPrice]]</f>
        <v>3390.7999999999997</v>
      </c>
    </row>
    <row r="635" spans="1:15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  <c r="O635" s="4">
        <f>Orders_Cleaned[[#This Row],[Quantity]]*Orders_Cleaned[[#This Row],[UnitPrice]]</f>
        <v>3008.6000000000004</v>
      </c>
    </row>
    <row r="636" spans="1:15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  <c r="O636" s="4">
        <f>Orders_Cleaned[[#This Row],[Quantity]]*Orders_Cleaned[[#This Row],[UnitPrice]]</f>
        <v>518.64</v>
      </c>
    </row>
    <row r="637" spans="1:15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  <c r="O637" s="4">
        <f>Orders_Cleaned[[#This Row],[Quantity]]*Orders_Cleaned[[#This Row],[UnitPrice]]</f>
        <v>191.04</v>
      </c>
    </row>
    <row r="638" spans="1:15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  <c r="O638" s="4">
        <f>Orders_Cleaned[[#This Row],[Quantity]]*Orders_Cleaned[[#This Row],[UnitPrice]]</f>
        <v>1484.28</v>
      </c>
    </row>
    <row r="639" spans="1:15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  <c r="O639" s="4">
        <f>Orders_Cleaned[[#This Row],[Quantity]]*Orders_Cleaned[[#This Row],[UnitPrice]]</f>
        <v>1225.4000000000001</v>
      </c>
    </row>
    <row r="640" spans="1:15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  <c r="O640" s="4">
        <f>Orders_Cleaned[[#This Row],[Quantity]]*Orders_Cleaned[[#This Row],[UnitPrice]]</f>
        <v>2313.08</v>
      </c>
    </row>
    <row r="641" spans="1:15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  <c r="O641" s="4">
        <f>Orders_Cleaned[[#This Row],[Quantity]]*Orders_Cleaned[[#This Row],[UnitPrice]]</f>
        <v>529.19000000000005</v>
      </c>
    </row>
    <row r="642" spans="1:15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  <c r="O642" s="4">
        <f>Orders_Cleaned[[#This Row],[Quantity]]*Orders_Cleaned[[#This Row],[UnitPrice]]</f>
        <v>1174.98</v>
      </c>
    </row>
    <row r="643" spans="1:15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  <c r="O643" s="4">
        <f>Orders_Cleaned[[#This Row],[Quantity]]*Orders_Cleaned[[#This Row],[UnitPrice]]</f>
        <v>2270.2800000000002</v>
      </c>
    </row>
    <row r="644" spans="1:15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  <c r="O644" s="4">
        <f>Orders_Cleaned[[#This Row],[Quantity]]*Orders_Cleaned[[#This Row],[UnitPrice]]</f>
        <v>426.1</v>
      </c>
    </row>
    <row r="645" spans="1:15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  <c r="O645" s="4">
        <f>Orders_Cleaned[[#This Row],[Quantity]]*Orders_Cleaned[[#This Row],[UnitPrice]]</f>
        <v>438.37</v>
      </c>
    </row>
    <row r="646" spans="1:15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  <c r="O646" s="4">
        <f>Orders_Cleaned[[#This Row],[Quantity]]*Orders_Cleaned[[#This Row],[UnitPrice]]</f>
        <v>732.46</v>
      </c>
    </row>
    <row r="647" spans="1:15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  <c r="O647" s="4">
        <f>Orders_Cleaned[[#This Row],[Quantity]]*Orders_Cleaned[[#This Row],[UnitPrice]]</f>
        <v>300.10000000000002</v>
      </c>
    </row>
    <row r="648" spans="1:15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  <c r="O648" s="4">
        <f>Orders_Cleaned[[#This Row],[Quantity]]*Orders_Cleaned[[#This Row],[UnitPrice]]</f>
        <v>1994.04</v>
      </c>
    </row>
    <row r="649" spans="1:15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  <c r="O649" s="4">
        <f>Orders_Cleaned[[#This Row],[Quantity]]*Orders_Cleaned[[#This Row],[UnitPrice]]</f>
        <v>1018.17</v>
      </c>
    </row>
    <row r="650" spans="1:15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  <c r="O650" s="4">
        <f>Orders_Cleaned[[#This Row],[Quantity]]*Orders_Cleaned[[#This Row],[UnitPrice]]</f>
        <v>1151.6600000000001</v>
      </c>
    </row>
    <row r="651" spans="1:15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  <c r="O651" s="4">
        <f>Orders_Cleaned[[#This Row],[Quantity]]*Orders_Cleaned[[#This Row],[UnitPrice]]</f>
        <v>1285.96</v>
      </c>
    </row>
    <row r="652" spans="1:15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  <c r="O652" s="4">
        <f>Orders_Cleaned[[#This Row],[Quantity]]*Orders_Cleaned[[#This Row],[UnitPrice]]</f>
        <v>744.46</v>
      </c>
    </row>
    <row r="653" spans="1:15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  <c r="O653" s="4">
        <f>Orders_Cleaned[[#This Row],[Quantity]]*Orders_Cleaned[[#This Row],[UnitPrice]]</f>
        <v>1939.02</v>
      </c>
    </row>
    <row r="654" spans="1:15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  <c r="O654" s="4">
        <f>Orders_Cleaned[[#This Row],[Quantity]]*Orders_Cleaned[[#This Row],[UnitPrice]]</f>
        <v>1709.1999999999998</v>
      </c>
    </row>
    <row r="655" spans="1:15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  <c r="O655" s="4">
        <f>Orders_Cleaned[[#This Row],[Quantity]]*Orders_Cleaned[[#This Row],[UnitPrice]]</f>
        <v>2070.8999999999996</v>
      </c>
    </row>
    <row r="656" spans="1:15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  <c r="O656" s="4">
        <f>Orders_Cleaned[[#This Row],[Quantity]]*Orders_Cleaned[[#This Row],[UnitPrice]]</f>
        <v>1147.1100000000001</v>
      </c>
    </row>
    <row r="657" spans="1:15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  <c r="O657" s="4">
        <f>Orders_Cleaned[[#This Row],[Quantity]]*Orders_Cleaned[[#This Row],[UnitPrice]]</f>
        <v>265.2</v>
      </c>
    </row>
    <row r="658" spans="1:15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  <c r="O658" s="4">
        <f>Orders_Cleaned[[#This Row],[Quantity]]*Orders_Cleaned[[#This Row],[UnitPrice]]</f>
        <v>378.12</v>
      </c>
    </row>
    <row r="659" spans="1:15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  <c r="O659" s="4">
        <f>Orders_Cleaned[[#This Row],[Quantity]]*Orders_Cleaned[[#This Row],[UnitPrice]]</f>
        <v>351.16</v>
      </c>
    </row>
    <row r="660" spans="1:15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  <c r="O660" s="4">
        <f>Orders_Cleaned[[#This Row],[Quantity]]*Orders_Cleaned[[#This Row],[UnitPrice]]</f>
        <v>92.72</v>
      </c>
    </row>
    <row r="661" spans="1:15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  <c r="O661" s="4">
        <f>Orders_Cleaned[[#This Row],[Quantity]]*Orders_Cleaned[[#This Row],[UnitPrice]]</f>
        <v>1284.08</v>
      </c>
    </row>
    <row r="662" spans="1:15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  <c r="O662" s="4">
        <f>Orders_Cleaned[[#This Row],[Quantity]]*Orders_Cleaned[[#This Row],[UnitPrice]]</f>
        <v>1303.1400000000001</v>
      </c>
    </row>
    <row r="663" spans="1:15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  <c r="O663" s="4">
        <f>Orders_Cleaned[[#This Row],[Quantity]]*Orders_Cleaned[[#This Row],[UnitPrice]]</f>
        <v>1274.67</v>
      </c>
    </row>
    <row r="664" spans="1:15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  <c r="O664" s="4">
        <f>Orders_Cleaned[[#This Row],[Quantity]]*Orders_Cleaned[[#This Row],[UnitPrice]]</f>
        <v>1316.67</v>
      </c>
    </row>
    <row r="665" spans="1:15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  <c r="O665" s="4">
        <f>Orders_Cleaned[[#This Row],[Quantity]]*Orders_Cleaned[[#This Row],[UnitPrice]]</f>
        <v>72.599999999999994</v>
      </c>
    </row>
    <row r="666" spans="1:15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  <c r="O666" s="4">
        <f>Orders_Cleaned[[#This Row],[Quantity]]*Orders_Cleaned[[#This Row],[UnitPrice]]</f>
        <v>779</v>
      </c>
    </row>
    <row r="667" spans="1:15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  <c r="O667" s="4">
        <f>Orders_Cleaned[[#This Row],[Quantity]]*Orders_Cleaned[[#This Row],[UnitPrice]]</f>
        <v>925.04</v>
      </c>
    </row>
    <row r="668" spans="1:15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  <c r="O668" s="4">
        <f>Orders_Cleaned[[#This Row],[Quantity]]*Orders_Cleaned[[#This Row],[UnitPrice]]</f>
        <v>1308.48</v>
      </c>
    </row>
    <row r="669" spans="1:15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  <c r="O669" s="4">
        <f>Orders_Cleaned[[#This Row],[Quantity]]*Orders_Cleaned[[#This Row],[UnitPrice]]</f>
        <v>466.42</v>
      </c>
    </row>
    <row r="670" spans="1:15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  <c r="O670" s="4">
        <f>Orders_Cleaned[[#This Row],[Quantity]]*Orders_Cleaned[[#This Row],[UnitPrice]]</f>
        <v>507.34</v>
      </c>
    </row>
    <row r="671" spans="1:15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  <c r="O671" s="4">
        <f>Orders_Cleaned[[#This Row],[Quantity]]*Orders_Cleaned[[#This Row],[UnitPrice]]</f>
        <v>257</v>
      </c>
    </row>
    <row r="672" spans="1:15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  <c r="O672" s="4">
        <f>Orders_Cleaned[[#This Row],[Quantity]]*Orders_Cleaned[[#This Row],[UnitPrice]]</f>
        <v>2156.8000000000002</v>
      </c>
    </row>
    <row r="673" spans="1:15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  <c r="O673" s="4">
        <f>Orders_Cleaned[[#This Row],[Quantity]]*Orders_Cleaned[[#This Row],[UnitPrice]]</f>
        <v>253.70000000000002</v>
      </c>
    </row>
    <row r="674" spans="1:15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  <c r="O674" s="4">
        <f>Orders_Cleaned[[#This Row],[Quantity]]*Orders_Cleaned[[#This Row],[UnitPrice]]</f>
        <v>1248.32</v>
      </c>
    </row>
    <row r="675" spans="1:15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  <c r="O675" s="4">
        <f>Orders_Cleaned[[#This Row],[Quantity]]*Orders_Cleaned[[#This Row],[UnitPrice]]</f>
        <v>745.84</v>
      </c>
    </row>
    <row r="676" spans="1:15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  <c r="O676" s="4">
        <f>Orders_Cleaned[[#This Row],[Quantity]]*Orders_Cleaned[[#This Row],[UnitPrice]]</f>
        <v>1435</v>
      </c>
    </row>
    <row r="677" spans="1:15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  <c r="O677" s="4">
        <f>Orders_Cleaned[[#This Row],[Quantity]]*Orders_Cleaned[[#This Row],[UnitPrice]]</f>
        <v>1026.06</v>
      </c>
    </row>
    <row r="678" spans="1:15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  <c r="O678" s="4">
        <f>Orders_Cleaned[[#This Row],[Quantity]]*Orders_Cleaned[[#This Row],[UnitPrice]]</f>
        <v>844.68</v>
      </c>
    </row>
    <row r="679" spans="1:15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  <c r="O679" s="4">
        <f>Orders_Cleaned[[#This Row],[Quantity]]*Orders_Cleaned[[#This Row],[UnitPrice]]</f>
        <v>110.35</v>
      </c>
    </row>
    <row r="680" spans="1:15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  <c r="O680" s="4">
        <f>Orders_Cleaned[[#This Row],[Quantity]]*Orders_Cleaned[[#This Row],[UnitPrice]]</f>
        <v>489.39</v>
      </c>
    </row>
    <row r="681" spans="1:15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  <c r="O681" s="4">
        <f>Orders_Cleaned[[#This Row],[Quantity]]*Orders_Cleaned[[#This Row],[UnitPrice]]</f>
        <v>1081.98</v>
      </c>
    </row>
    <row r="682" spans="1:15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  <c r="O682" s="4">
        <f>Orders_Cleaned[[#This Row],[Quantity]]*Orders_Cleaned[[#This Row],[UnitPrice]]</f>
        <v>1390.17</v>
      </c>
    </row>
    <row r="683" spans="1:15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  <c r="O683" s="4">
        <f>Orders_Cleaned[[#This Row],[Quantity]]*Orders_Cleaned[[#This Row],[UnitPrice]]</f>
        <v>155.27000000000001</v>
      </c>
    </row>
    <row r="684" spans="1:15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  <c r="O684" s="4">
        <f>Orders_Cleaned[[#This Row],[Quantity]]*Orders_Cleaned[[#This Row],[UnitPrice]]</f>
        <v>1528.26</v>
      </c>
    </row>
    <row r="685" spans="1:15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  <c r="O685" s="4">
        <f>Orders_Cleaned[[#This Row],[Quantity]]*Orders_Cleaned[[#This Row],[UnitPrice]]</f>
        <v>2609.92</v>
      </c>
    </row>
    <row r="686" spans="1:15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  <c r="O686" s="4">
        <f>Orders_Cleaned[[#This Row],[Quantity]]*Orders_Cleaned[[#This Row],[UnitPrice]]</f>
        <v>139.36000000000001</v>
      </c>
    </row>
    <row r="687" spans="1:15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  <c r="O687" s="4">
        <f>Orders_Cleaned[[#This Row],[Quantity]]*Orders_Cleaned[[#This Row],[UnitPrice]]</f>
        <v>234.37</v>
      </c>
    </row>
    <row r="688" spans="1:15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  <c r="O688" s="4">
        <f>Orders_Cleaned[[#This Row],[Quantity]]*Orders_Cleaned[[#This Row],[UnitPrice]]</f>
        <v>160.80000000000001</v>
      </c>
    </row>
    <row r="689" spans="1:15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  <c r="O689" s="4">
        <f>Orders_Cleaned[[#This Row],[Quantity]]*Orders_Cleaned[[#This Row],[UnitPrice]]</f>
        <v>332.09</v>
      </c>
    </row>
    <row r="690" spans="1:15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  <c r="O690" s="4">
        <f>Orders_Cleaned[[#This Row],[Quantity]]*Orders_Cleaned[[#This Row],[UnitPrice]]</f>
        <v>2372.88</v>
      </c>
    </row>
    <row r="691" spans="1:15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  <c r="O691" s="4">
        <f>Orders_Cleaned[[#This Row],[Quantity]]*Orders_Cleaned[[#This Row],[UnitPrice]]</f>
        <v>889.68</v>
      </c>
    </row>
    <row r="692" spans="1:15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  <c r="O692" s="4">
        <f>Orders_Cleaned[[#This Row],[Quantity]]*Orders_Cleaned[[#This Row],[UnitPrice]]</f>
        <v>24.48</v>
      </c>
    </row>
    <row r="693" spans="1:15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  <c r="O693" s="4">
        <f>Orders_Cleaned[[#This Row],[Quantity]]*Orders_Cleaned[[#This Row],[UnitPrice]]</f>
        <v>717.24</v>
      </c>
    </row>
    <row r="694" spans="1:15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  <c r="O694" s="4">
        <f>Orders_Cleaned[[#This Row],[Quantity]]*Orders_Cleaned[[#This Row],[UnitPrice]]</f>
        <v>984.2</v>
      </c>
    </row>
    <row r="695" spans="1:15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  <c r="O695" s="4">
        <f>Orders_Cleaned[[#This Row],[Quantity]]*Orders_Cleaned[[#This Row],[UnitPrice]]</f>
        <v>176.58</v>
      </c>
    </row>
    <row r="696" spans="1:15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  <c r="O696" s="4">
        <f>Orders_Cleaned[[#This Row],[Quantity]]*Orders_Cleaned[[#This Row],[UnitPrice]]</f>
        <v>2666.08</v>
      </c>
    </row>
    <row r="697" spans="1:15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  <c r="O697" s="4">
        <f>Orders_Cleaned[[#This Row],[Quantity]]*Orders_Cleaned[[#This Row],[UnitPrice]]</f>
        <v>506.5</v>
      </c>
    </row>
    <row r="698" spans="1:15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  <c r="O698" s="4">
        <f>Orders_Cleaned[[#This Row],[Quantity]]*Orders_Cleaned[[#This Row],[UnitPrice]]</f>
        <v>604.79999999999995</v>
      </c>
    </row>
    <row r="699" spans="1:15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  <c r="O699" s="4">
        <f>Orders_Cleaned[[#This Row],[Quantity]]*Orders_Cleaned[[#This Row],[UnitPrice]]</f>
        <v>474.25</v>
      </c>
    </row>
    <row r="700" spans="1:15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  <c r="O700" s="4">
        <f>Orders_Cleaned[[#This Row],[Quantity]]*Orders_Cleaned[[#This Row],[UnitPrice]]</f>
        <v>776.44</v>
      </c>
    </row>
    <row r="701" spans="1:15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  <c r="O701" s="4">
        <f>Orders_Cleaned[[#This Row],[Quantity]]*Orders_Cleaned[[#This Row],[UnitPrice]]</f>
        <v>1842.4499999999998</v>
      </c>
    </row>
    <row r="702" spans="1:15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  <c r="O702" s="4">
        <f>Orders_Cleaned[[#This Row],[Quantity]]*Orders_Cleaned[[#This Row],[UnitPrice]]</f>
        <v>185.82</v>
      </c>
    </row>
    <row r="703" spans="1:15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  <c r="O703" s="4">
        <f>Orders_Cleaned[[#This Row],[Quantity]]*Orders_Cleaned[[#This Row],[UnitPrice]]</f>
        <v>276.65999999999997</v>
      </c>
    </row>
    <row r="704" spans="1:15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  <c r="O704" s="4">
        <f>Orders_Cleaned[[#This Row],[Quantity]]*Orders_Cleaned[[#This Row],[UnitPrice]]</f>
        <v>1687.6499999999999</v>
      </c>
    </row>
    <row r="705" spans="1:15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  <c r="O705" s="4">
        <f>Orders_Cleaned[[#This Row],[Quantity]]*Orders_Cleaned[[#This Row],[UnitPrice]]</f>
        <v>92.79</v>
      </c>
    </row>
    <row r="706" spans="1:15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  <c r="O706" s="4">
        <f>Orders_Cleaned[[#This Row],[Quantity]]*Orders_Cleaned[[#This Row],[UnitPrice]]</f>
        <v>121.08</v>
      </c>
    </row>
    <row r="707" spans="1:15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  <c r="O707" s="4">
        <f>Orders_Cleaned[[#This Row],[Quantity]]*Orders_Cleaned[[#This Row],[UnitPrice]]</f>
        <v>98.16</v>
      </c>
    </row>
    <row r="708" spans="1:15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  <c r="O708" s="4">
        <f>Orders_Cleaned[[#This Row],[Quantity]]*Orders_Cleaned[[#This Row],[UnitPrice]]</f>
        <v>1140.45</v>
      </c>
    </row>
    <row r="709" spans="1:15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  <c r="O709" s="4">
        <f>Orders_Cleaned[[#This Row],[Quantity]]*Orders_Cleaned[[#This Row],[UnitPrice]]</f>
        <v>2600.16</v>
      </c>
    </row>
    <row r="710" spans="1:15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  <c r="O710" s="4">
        <f>Orders_Cleaned[[#This Row],[Quantity]]*Orders_Cleaned[[#This Row],[UnitPrice]]</f>
        <v>665.11</v>
      </c>
    </row>
    <row r="711" spans="1:15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  <c r="O711" s="4">
        <f>Orders_Cleaned[[#This Row],[Quantity]]*Orders_Cleaned[[#This Row],[UnitPrice]]</f>
        <v>386.03</v>
      </c>
    </row>
    <row r="712" spans="1:15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  <c r="O712" s="4">
        <f>Orders_Cleaned[[#This Row],[Quantity]]*Orders_Cleaned[[#This Row],[UnitPrice]]</f>
        <v>107.69999999999999</v>
      </c>
    </row>
    <row r="713" spans="1:15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  <c r="O713" s="4">
        <f>Orders_Cleaned[[#This Row],[Quantity]]*Orders_Cleaned[[#This Row],[UnitPrice]]</f>
        <v>951.56</v>
      </c>
    </row>
    <row r="714" spans="1:15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  <c r="O714" s="4">
        <f>Orders_Cleaned[[#This Row],[Quantity]]*Orders_Cleaned[[#This Row],[UnitPrice]]</f>
        <v>136.80000000000001</v>
      </c>
    </row>
    <row r="715" spans="1:15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  <c r="O715" s="4">
        <f>Orders_Cleaned[[#This Row],[Quantity]]*Orders_Cleaned[[#This Row],[UnitPrice]]</f>
        <v>2129.96</v>
      </c>
    </row>
    <row r="716" spans="1:15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  <c r="O716" s="4">
        <f>Orders_Cleaned[[#This Row],[Quantity]]*Orders_Cleaned[[#This Row],[UnitPrice]]</f>
        <v>51.73</v>
      </c>
    </row>
    <row r="717" spans="1:15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  <c r="O717" s="4">
        <f>Orders_Cleaned[[#This Row],[Quantity]]*Orders_Cleaned[[#This Row],[UnitPrice]]</f>
        <v>1960.8899999999999</v>
      </c>
    </row>
    <row r="718" spans="1:15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  <c r="O718" s="4">
        <f>Orders_Cleaned[[#This Row],[Quantity]]*Orders_Cleaned[[#This Row],[UnitPrice]]</f>
        <v>1362.8700000000001</v>
      </c>
    </row>
    <row r="719" spans="1:15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  <c r="O719" s="4">
        <f>Orders_Cleaned[[#This Row],[Quantity]]*Orders_Cleaned[[#This Row],[UnitPrice]]</f>
        <v>366.33</v>
      </c>
    </row>
    <row r="720" spans="1:15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  <c r="O720" s="4">
        <f>Orders_Cleaned[[#This Row],[Quantity]]*Orders_Cleaned[[#This Row],[UnitPrice]]</f>
        <v>258.95999999999998</v>
      </c>
    </row>
    <row r="721" spans="1:15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  <c r="O721" s="4">
        <f>Orders_Cleaned[[#This Row],[Quantity]]*Orders_Cleaned[[#This Row],[UnitPrice]]</f>
        <v>1362.12</v>
      </c>
    </row>
    <row r="722" spans="1:15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  <c r="O722" s="4">
        <f>Orders_Cleaned[[#This Row],[Quantity]]*Orders_Cleaned[[#This Row],[UnitPrice]]</f>
        <v>644.75</v>
      </c>
    </row>
    <row r="723" spans="1:15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  <c r="O723" s="4">
        <f>Orders_Cleaned[[#This Row],[Quantity]]*Orders_Cleaned[[#This Row],[UnitPrice]]</f>
        <v>237.18</v>
      </c>
    </row>
    <row r="724" spans="1:15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  <c r="O724" s="4">
        <f>Orders_Cleaned[[#This Row],[Quantity]]*Orders_Cleaned[[#This Row],[UnitPrice]]</f>
        <v>95.1</v>
      </c>
    </row>
    <row r="725" spans="1:15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  <c r="O725" s="4">
        <f>Orders_Cleaned[[#This Row],[Quantity]]*Orders_Cleaned[[#This Row],[UnitPrice]]</f>
        <v>164.85000000000002</v>
      </c>
    </row>
    <row r="726" spans="1:15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  <c r="O726" s="4">
        <f>Orders_Cleaned[[#This Row],[Quantity]]*Orders_Cleaned[[#This Row],[UnitPrice]]</f>
        <v>410.90999999999997</v>
      </c>
    </row>
    <row r="727" spans="1:15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  <c r="O727" s="4">
        <f>Orders_Cleaned[[#This Row],[Quantity]]*Orders_Cleaned[[#This Row],[UnitPrice]]</f>
        <v>389.7</v>
      </c>
    </row>
    <row r="728" spans="1:15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  <c r="O728" s="4">
        <f>Orders_Cleaned[[#This Row],[Quantity]]*Orders_Cleaned[[#This Row],[UnitPrice]]</f>
        <v>2332.08</v>
      </c>
    </row>
    <row r="729" spans="1:15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  <c r="O729" s="4">
        <f>Orders_Cleaned[[#This Row],[Quantity]]*Orders_Cleaned[[#This Row],[UnitPrice]]</f>
        <v>478.75</v>
      </c>
    </row>
    <row r="730" spans="1:15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  <c r="O730" s="4">
        <f>Orders_Cleaned[[#This Row],[Quantity]]*Orders_Cleaned[[#This Row],[UnitPrice]]</f>
        <v>1303.04</v>
      </c>
    </row>
    <row r="731" spans="1:15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  <c r="O731" s="4">
        <f>Orders_Cleaned[[#This Row],[Quantity]]*Orders_Cleaned[[#This Row],[UnitPrice]]</f>
        <v>745.64</v>
      </c>
    </row>
    <row r="732" spans="1:15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  <c r="O732" s="4">
        <f>Orders_Cleaned[[#This Row],[Quantity]]*Orders_Cleaned[[#This Row],[UnitPrice]]</f>
        <v>474.6</v>
      </c>
    </row>
    <row r="733" spans="1:15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  <c r="O733" s="4">
        <f>Orders_Cleaned[[#This Row],[Quantity]]*Orders_Cleaned[[#This Row],[UnitPrice]]</f>
        <v>2922.3</v>
      </c>
    </row>
    <row r="734" spans="1:15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  <c r="O734" s="4">
        <f>Orders_Cleaned[[#This Row],[Quantity]]*Orders_Cleaned[[#This Row],[UnitPrice]]</f>
        <v>132.05000000000001</v>
      </c>
    </row>
    <row r="735" spans="1:15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  <c r="O735" s="4">
        <f>Orders_Cleaned[[#This Row],[Quantity]]*Orders_Cleaned[[#This Row],[UnitPrice]]</f>
        <v>1979.36</v>
      </c>
    </row>
    <row r="736" spans="1:15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  <c r="O736" s="4">
        <f>Orders_Cleaned[[#This Row],[Quantity]]*Orders_Cleaned[[#This Row],[UnitPrice]]</f>
        <v>898.44</v>
      </c>
    </row>
    <row r="737" spans="1:15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  <c r="O737" s="4">
        <f>Orders_Cleaned[[#This Row],[Quantity]]*Orders_Cleaned[[#This Row],[UnitPrice]]</f>
        <v>176.28</v>
      </c>
    </row>
    <row r="738" spans="1:15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  <c r="O738" s="4">
        <f>Orders_Cleaned[[#This Row],[Quantity]]*Orders_Cleaned[[#This Row],[UnitPrice]]</f>
        <v>2092.6499999999996</v>
      </c>
    </row>
    <row r="739" spans="1:15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  <c r="O739" s="4">
        <f>Orders_Cleaned[[#This Row],[Quantity]]*Orders_Cleaned[[#This Row],[UnitPrice]]</f>
        <v>2131.48</v>
      </c>
    </row>
    <row r="740" spans="1:15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  <c r="O740" s="4">
        <f>Orders_Cleaned[[#This Row],[Quantity]]*Orders_Cleaned[[#This Row],[UnitPrice]]</f>
        <v>970.74</v>
      </c>
    </row>
    <row r="741" spans="1:15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  <c r="O741" s="4">
        <f>Orders_Cleaned[[#This Row],[Quantity]]*Orders_Cleaned[[#This Row],[UnitPrice]]</f>
        <v>1546.92</v>
      </c>
    </row>
    <row r="742" spans="1:15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  <c r="O742" s="4">
        <f>Orders_Cleaned[[#This Row],[Quantity]]*Orders_Cleaned[[#This Row],[UnitPrice]]</f>
        <v>754.94</v>
      </c>
    </row>
    <row r="743" spans="1:15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  <c r="O743" s="4">
        <f>Orders_Cleaned[[#This Row],[Quantity]]*Orders_Cleaned[[#This Row],[UnitPrice]]</f>
        <v>1663.1999999999998</v>
      </c>
    </row>
    <row r="744" spans="1:15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  <c r="O744" s="4">
        <f>Orders_Cleaned[[#This Row],[Quantity]]*Orders_Cleaned[[#This Row],[UnitPrice]]</f>
        <v>2099.79</v>
      </c>
    </row>
    <row r="745" spans="1:15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  <c r="O745" s="4">
        <f>Orders_Cleaned[[#This Row],[Quantity]]*Orders_Cleaned[[#This Row],[UnitPrice]]</f>
        <v>576.35</v>
      </c>
    </row>
    <row r="746" spans="1:15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  <c r="O746" s="4">
        <f>Orders_Cleaned[[#This Row],[Quantity]]*Orders_Cleaned[[#This Row],[UnitPrice]]</f>
        <v>922.74</v>
      </c>
    </row>
    <row r="747" spans="1:15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  <c r="O747" s="4">
        <f>Orders_Cleaned[[#This Row],[Quantity]]*Orders_Cleaned[[#This Row],[UnitPrice]]</f>
        <v>445.2</v>
      </c>
    </row>
    <row r="748" spans="1:15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  <c r="O748" s="4">
        <f>Orders_Cleaned[[#This Row],[Quantity]]*Orders_Cleaned[[#This Row],[UnitPrice]]</f>
        <v>1985.67</v>
      </c>
    </row>
    <row r="749" spans="1:15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  <c r="O749" s="4">
        <f>Orders_Cleaned[[#This Row],[Quantity]]*Orders_Cleaned[[#This Row],[UnitPrice]]</f>
        <v>519.16</v>
      </c>
    </row>
    <row r="750" spans="1:15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  <c r="O750" s="4">
        <f>Orders_Cleaned[[#This Row],[Quantity]]*Orders_Cleaned[[#This Row],[UnitPrice]]</f>
        <v>212.43</v>
      </c>
    </row>
    <row r="751" spans="1:15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  <c r="O751" s="4">
        <f>Orders_Cleaned[[#This Row],[Quantity]]*Orders_Cleaned[[#This Row],[UnitPrice]]</f>
        <v>518.39</v>
      </c>
    </row>
    <row r="752" spans="1:15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  <c r="O752" s="4">
        <f>Orders_Cleaned[[#This Row],[Quantity]]*Orders_Cleaned[[#This Row],[UnitPrice]]</f>
        <v>581.64</v>
      </c>
    </row>
    <row r="753" spans="1:15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  <c r="O753" s="4">
        <f>Orders_Cleaned[[#This Row],[Quantity]]*Orders_Cleaned[[#This Row],[UnitPrice]]</f>
        <v>1199.72</v>
      </c>
    </row>
    <row r="754" spans="1:15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  <c r="O754" s="4">
        <f>Orders_Cleaned[[#This Row],[Quantity]]*Orders_Cleaned[[#This Row],[UnitPrice]]</f>
        <v>1717.48</v>
      </c>
    </row>
    <row r="755" spans="1:15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  <c r="O755" s="4">
        <f>Orders_Cleaned[[#This Row],[Quantity]]*Orders_Cleaned[[#This Row],[UnitPrice]]</f>
        <v>482.98</v>
      </c>
    </row>
    <row r="756" spans="1:15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  <c r="O756" s="4">
        <f>Orders_Cleaned[[#This Row],[Quantity]]*Orders_Cleaned[[#This Row],[UnitPrice]]</f>
        <v>904.1</v>
      </c>
    </row>
    <row r="757" spans="1:15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  <c r="O757" s="4">
        <f>Orders_Cleaned[[#This Row],[Quantity]]*Orders_Cleaned[[#This Row],[UnitPrice]]</f>
        <v>1010.1299999999999</v>
      </c>
    </row>
    <row r="758" spans="1:15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  <c r="O758" s="4">
        <f>Orders_Cleaned[[#This Row],[Quantity]]*Orders_Cleaned[[#This Row],[UnitPrice]]</f>
        <v>283.69</v>
      </c>
    </row>
    <row r="759" spans="1:15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  <c r="O759" s="4">
        <f>Orders_Cleaned[[#This Row],[Quantity]]*Orders_Cleaned[[#This Row],[UnitPrice]]</f>
        <v>157.72</v>
      </c>
    </row>
    <row r="760" spans="1:15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  <c r="O760" s="4">
        <f>Orders_Cleaned[[#This Row],[Quantity]]*Orders_Cleaned[[#This Row],[UnitPrice]]</f>
        <v>1874.52</v>
      </c>
    </row>
    <row r="761" spans="1:15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  <c r="O761" s="4">
        <f>Orders_Cleaned[[#This Row],[Quantity]]*Orders_Cleaned[[#This Row],[UnitPrice]]</f>
        <v>924.03</v>
      </c>
    </row>
    <row r="762" spans="1:15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  <c r="O762" s="4">
        <f>Orders_Cleaned[[#This Row],[Quantity]]*Orders_Cleaned[[#This Row],[UnitPrice]]</f>
        <v>39.56</v>
      </c>
    </row>
    <row r="763" spans="1:15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  <c r="O763" s="4">
        <f>Orders_Cleaned[[#This Row],[Quantity]]*Orders_Cleaned[[#This Row],[UnitPrice]]</f>
        <v>151.04</v>
      </c>
    </row>
    <row r="764" spans="1:15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  <c r="O764" s="4">
        <f>Orders_Cleaned[[#This Row],[Quantity]]*Orders_Cleaned[[#This Row],[UnitPrice]]</f>
        <v>230.88</v>
      </c>
    </row>
    <row r="765" spans="1:15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  <c r="O765" s="4">
        <f>Orders_Cleaned[[#This Row],[Quantity]]*Orders_Cleaned[[#This Row],[UnitPrice]]</f>
        <v>569.96</v>
      </c>
    </row>
    <row r="766" spans="1:15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  <c r="O766" s="4">
        <f>Orders_Cleaned[[#This Row],[Quantity]]*Orders_Cleaned[[#This Row],[UnitPrice]]</f>
        <v>3137.1499999999996</v>
      </c>
    </row>
    <row r="767" spans="1:15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  <c r="O767" s="4">
        <f>Orders_Cleaned[[#This Row],[Quantity]]*Orders_Cleaned[[#This Row],[UnitPrice]]</f>
        <v>1069.82</v>
      </c>
    </row>
    <row r="768" spans="1:15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  <c r="O768" s="4">
        <f>Orders_Cleaned[[#This Row],[Quantity]]*Orders_Cleaned[[#This Row],[UnitPrice]]</f>
        <v>557.76</v>
      </c>
    </row>
    <row r="769" spans="1:15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  <c r="O769" s="4">
        <f>Orders_Cleaned[[#This Row],[Quantity]]*Orders_Cleaned[[#This Row],[UnitPrice]]</f>
        <v>646.44000000000005</v>
      </c>
    </row>
    <row r="770" spans="1:15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  <c r="O770" s="4">
        <f>Orders_Cleaned[[#This Row],[Quantity]]*Orders_Cleaned[[#This Row],[UnitPrice]]</f>
        <v>3267.3</v>
      </c>
    </row>
    <row r="771" spans="1:15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  <c r="O771" s="4">
        <f>Orders_Cleaned[[#This Row],[Quantity]]*Orders_Cleaned[[#This Row],[UnitPrice]]</f>
        <v>2714.2</v>
      </c>
    </row>
    <row r="772" spans="1:15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  <c r="O772" s="4">
        <f>Orders_Cleaned[[#This Row],[Quantity]]*Orders_Cleaned[[#This Row],[UnitPrice]]</f>
        <v>314.38</v>
      </c>
    </row>
    <row r="773" spans="1:15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  <c r="O773" s="4">
        <f>Orders_Cleaned[[#This Row],[Quantity]]*Orders_Cleaned[[#This Row],[UnitPrice]]</f>
        <v>2077.3200000000002</v>
      </c>
    </row>
    <row r="774" spans="1:15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  <c r="O774" s="4">
        <f>Orders_Cleaned[[#This Row],[Quantity]]*Orders_Cleaned[[#This Row],[UnitPrice]]</f>
        <v>604.87</v>
      </c>
    </row>
    <row r="775" spans="1:15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  <c r="O775" s="4">
        <f>Orders_Cleaned[[#This Row],[Quantity]]*Orders_Cleaned[[#This Row],[UnitPrice]]</f>
        <v>1024.6600000000001</v>
      </c>
    </row>
    <row r="776" spans="1:15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  <c r="O776" s="4">
        <f>Orders_Cleaned[[#This Row],[Quantity]]*Orders_Cleaned[[#This Row],[UnitPrice]]</f>
        <v>61.62</v>
      </c>
    </row>
    <row r="777" spans="1:15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  <c r="O777" s="4">
        <f>Orders_Cleaned[[#This Row],[Quantity]]*Orders_Cleaned[[#This Row],[UnitPrice]]</f>
        <v>1250.44</v>
      </c>
    </row>
    <row r="778" spans="1:15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  <c r="O778" s="4">
        <f>Orders_Cleaned[[#This Row],[Quantity]]*Orders_Cleaned[[#This Row],[UnitPrice]]</f>
        <v>21.19</v>
      </c>
    </row>
    <row r="779" spans="1:15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  <c r="O779" s="4">
        <f>Orders_Cleaned[[#This Row],[Quantity]]*Orders_Cleaned[[#This Row],[UnitPrice]]</f>
        <v>322.45</v>
      </c>
    </row>
    <row r="780" spans="1:15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  <c r="O780" s="4">
        <f>Orders_Cleaned[[#This Row],[Quantity]]*Orders_Cleaned[[#This Row],[UnitPrice]]</f>
        <v>987.4</v>
      </c>
    </row>
    <row r="781" spans="1:15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  <c r="O781" s="4">
        <f>Orders_Cleaned[[#This Row],[Quantity]]*Orders_Cleaned[[#This Row],[UnitPrice]]</f>
        <v>1766.22</v>
      </c>
    </row>
    <row r="782" spans="1:15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  <c r="O782" s="4">
        <f>Orders_Cleaned[[#This Row],[Quantity]]*Orders_Cleaned[[#This Row],[UnitPrice]]</f>
        <v>737.92</v>
      </c>
    </row>
    <row r="783" spans="1:15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  <c r="O783" s="4">
        <f>Orders_Cleaned[[#This Row],[Quantity]]*Orders_Cleaned[[#This Row],[UnitPrice]]</f>
        <v>2621.3000000000002</v>
      </c>
    </row>
    <row r="784" spans="1:15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  <c r="O784" s="4">
        <f>Orders_Cleaned[[#This Row],[Quantity]]*Orders_Cleaned[[#This Row],[UnitPrice]]</f>
        <v>987.26</v>
      </c>
    </row>
    <row r="785" spans="1:15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  <c r="O785" s="4">
        <f>Orders_Cleaned[[#This Row],[Quantity]]*Orders_Cleaned[[#This Row],[UnitPrice]]</f>
        <v>438.34</v>
      </c>
    </row>
    <row r="786" spans="1:15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  <c r="O786" s="4">
        <f>Orders_Cleaned[[#This Row],[Quantity]]*Orders_Cleaned[[#This Row],[UnitPrice]]</f>
        <v>325.81</v>
      </c>
    </row>
    <row r="787" spans="1:15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  <c r="O787" s="4">
        <f>Orders_Cleaned[[#This Row],[Quantity]]*Orders_Cleaned[[#This Row],[UnitPrice]]</f>
        <v>176.1</v>
      </c>
    </row>
    <row r="788" spans="1:15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  <c r="O788" s="4">
        <f>Orders_Cleaned[[#This Row],[Quantity]]*Orders_Cleaned[[#This Row],[UnitPrice]]</f>
        <v>226.55</v>
      </c>
    </row>
    <row r="789" spans="1:15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  <c r="O789" s="4">
        <f>Orders_Cleaned[[#This Row],[Quantity]]*Orders_Cleaned[[#This Row],[UnitPrice]]</f>
        <v>887.84</v>
      </c>
    </row>
    <row r="790" spans="1:15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  <c r="O790" s="4">
        <f>Orders_Cleaned[[#This Row],[Quantity]]*Orders_Cleaned[[#This Row],[UnitPrice]]</f>
        <v>1202.8599999999999</v>
      </c>
    </row>
    <row r="791" spans="1:15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  <c r="O791" s="4">
        <f>Orders_Cleaned[[#This Row],[Quantity]]*Orders_Cleaned[[#This Row],[UnitPrice]]</f>
        <v>3456.3999999999996</v>
      </c>
    </row>
    <row r="792" spans="1:15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  <c r="O792" s="4">
        <f>Orders_Cleaned[[#This Row],[Quantity]]*Orders_Cleaned[[#This Row],[UnitPrice]]</f>
        <v>1671.56</v>
      </c>
    </row>
    <row r="793" spans="1:15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  <c r="O793" s="4">
        <f>Orders_Cleaned[[#This Row],[Quantity]]*Orders_Cleaned[[#This Row],[UnitPrice]]</f>
        <v>1637.12</v>
      </c>
    </row>
    <row r="794" spans="1:15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  <c r="O794" s="4">
        <f>Orders_Cleaned[[#This Row],[Quantity]]*Orders_Cleaned[[#This Row],[UnitPrice]]</f>
        <v>712.7</v>
      </c>
    </row>
    <row r="795" spans="1:15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  <c r="O795" s="4">
        <f>Orders_Cleaned[[#This Row],[Quantity]]*Orders_Cleaned[[#This Row],[UnitPrice]]</f>
        <v>851.1</v>
      </c>
    </row>
    <row r="796" spans="1:15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  <c r="O796" s="4">
        <f>Orders_Cleaned[[#This Row],[Quantity]]*Orders_Cleaned[[#This Row],[UnitPrice]]</f>
        <v>1539.4</v>
      </c>
    </row>
    <row r="797" spans="1:15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  <c r="O797" s="4">
        <f>Orders_Cleaned[[#This Row],[Quantity]]*Orders_Cleaned[[#This Row],[UnitPrice]]</f>
        <v>463.08</v>
      </c>
    </row>
    <row r="798" spans="1:15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  <c r="O798" s="4">
        <f>Orders_Cleaned[[#This Row],[Quantity]]*Orders_Cleaned[[#This Row],[UnitPrice]]</f>
        <v>1738.6499999999999</v>
      </c>
    </row>
    <row r="799" spans="1:15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  <c r="O799" s="4">
        <f>Orders_Cleaned[[#This Row],[Quantity]]*Orders_Cleaned[[#This Row],[UnitPrice]]</f>
        <v>877.52</v>
      </c>
    </row>
    <row r="800" spans="1:15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  <c r="O800" s="4">
        <f>Orders_Cleaned[[#This Row],[Quantity]]*Orders_Cleaned[[#This Row],[UnitPrice]]</f>
        <v>2441.75</v>
      </c>
    </row>
    <row r="801" spans="1:15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  <c r="O801" s="4">
        <f>Orders_Cleaned[[#This Row],[Quantity]]*Orders_Cleaned[[#This Row],[UnitPrice]]</f>
        <v>1314.24</v>
      </c>
    </row>
    <row r="802" spans="1:15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  <c r="O802" s="4">
        <f>Orders_Cleaned[[#This Row],[Quantity]]*Orders_Cleaned[[#This Row],[UnitPrice]]</f>
        <v>68.39</v>
      </c>
    </row>
    <row r="803" spans="1:15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  <c r="O803" s="4">
        <f>Orders_Cleaned[[#This Row],[Quantity]]*Orders_Cleaned[[#This Row],[UnitPrice]]</f>
        <v>2382.48</v>
      </c>
    </row>
    <row r="804" spans="1:15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  <c r="O804" s="4">
        <f>Orders_Cleaned[[#This Row],[Quantity]]*Orders_Cleaned[[#This Row],[UnitPrice]]</f>
        <v>3223.2</v>
      </c>
    </row>
    <row r="805" spans="1:15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  <c r="O805" s="4">
        <f>Orders_Cleaned[[#This Row],[Quantity]]*Orders_Cleaned[[#This Row],[UnitPrice]]</f>
        <v>1989.05</v>
      </c>
    </row>
    <row r="806" spans="1:15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  <c r="O806" s="4">
        <f>Orders_Cleaned[[#This Row],[Quantity]]*Orders_Cleaned[[#This Row],[UnitPrice]]</f>
        <v>709.5</v>
      </c>
    </row>
    <row r="807" spans="1:15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  <c r="O807" s="4">
        <f>Orders_Cleaned[[#This Row],[Quantity]]*Orders_Cleaned[[#This Row],[UnitPrice]]</f>
        <v>2360.0500000000002</v>
      </c>
    </row>
    <row r="808" spans="1:15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  <c r="O808" s="4">
        <f>Orders_Cleaned[[#This Row],[Quantity]]*Orders_Cleaned[[#This Row],[UnitPrice]]</f>
        <v>1268.75</v>
      </c>
    </row>
    <row r="809" spans="1:15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  <c r="O809" s="4">
        <f>Orders_Cleaned[[#This Row],[Quantity]]*Orders_Cleaned[[#This Row],[UnitPrice]]</f>
        <v>2028.63</v>
      </c>
    </row>
    <row r="810" spans="1:15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  <c r="O810" s="4">
        <f>Orders_Cleaned[[#This Row],[Quantity]]*Orders_Cleaned[[#This Row],[UnitPrice]]</f>
        <v>402.15000000000003</v>
      </c>
    </row>
    <row r="811" spans="1:15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  <c r="O811" s="4">
        <f>Orders_Cleaned[[#This Row],[Quantity]]*Orders_Cleaned[[#This Row],[UnitPrice]]</f>
        <v>1087.1500000000001</v>
      </c>
    </row>
    <row r="812" spans="1:15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  <c r="O812" s="4">
        <f>Orders_Cleaned[[#This Row],[Quantity]]*Orders_Cleaned[[#This Row],[UnitPrice]]</f>
        <v>553.55999999999995</v>
      </c>
    </row>
    <row r="813" spans="1:15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  <c r="O813" s="4">
        <f>Orders_Cleaned[[#This Row],[Quantity]]*Orders_Cleaned[[#This Row],[UnitPrice]]</f>
        <v>57.1</v>
      </c>
    </row>
    <row r="814" spans="1:15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  <c r="O814" s="4">
        <f>Orders_Cleaned[[#This Row],[Quantity]]*Orders_Cleaned[[#This Row],[UnitPrice]]</f>
        <v>510.52</v>
      </c>
    </row>
    <row r="815" spans="1:15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  <c r="O815" s="4">
        <f>Orders_Cleaned[[#This Row],[Quantity]]*Orders_Cleaned[[#This Row],[UnitPrice]]</f>
        <v>1462.7</v>
      </c>
    </row>
    <row r="816" spans="1:15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  <c r="O816" s="4">
        <f>Orders_Cleaned[[#This Row],[Quantity]]*Orders_Cleaned[[#This Row],[UnitPrice]]</f>
        <v>590.04</v>
      </c>
    </row>
    <row r="817" spans="1:15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  <c r="O817" s="4">
        <f>Orders_Cleaned[[#This Row],[Quantity]]*Orders_Cleaned[[#This Row],[UnitPrice]]</f>
        <v>1709.52</v>
      </c>
    </row>
    <row r="818" spans="1:15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  <c r="O818" s="4">
        <f>Orders_Cleaned[[#This Row],[Quantity]]*Orders_Cleaned[[#This Row],[UnitPrice]]</f>
        <v>2873.95</v>
      </c>
    </row>
    <row r="819" spans="1:15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  <c r="O819" s="4">
        <f>Orders_Cleaned[[#This Row],[Quantity]]*Orders_Cleaned[[#This Row],[UnitPrice]]</f>
        <v>2392.7600000000002</v>
      </c>
    </row>
    <row r="820" spans="1:15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  <c r="O820" s="4">
        <f>Orders_Cleaned[[#This Row],[Quantity]]*Orders_Cleaned[[#This Row],[UnitPrice]]</f>
        <v>1563.36</v>
      </c>
    </row>
    <row r="821" spans="1:15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  <c r="O821" s="4">
        <f>Orders_Cleaned[[#This Row],[Quantity]]*Orders_Cleaned[[#This Row],[UnitPrice]]</f>
        <v>796.9</v>
      </c>
    </row>
    <row r="822" spans="1:15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  <c r="O822" s="4">
        <f>Orders_Cleaned[[#This Row],[Quantity]]*Orders_Cleaned[[#This Row],[UnitPrice]]</f>
        <v>3119.0499999999997</v>
      </c>
    </row>
    <row r="823" spans="1:15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  <c r="O823" s="4">
        <f>Orders_Cleaned[[#This Row],[Quantity]]*Orders_Cleaned[[#This Row],[UnitPrice]]</f>
        <v>697.96</v>
      </c>
    </row>
    <row r="824" spans="1:15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  <c r="O824" s="4">
        <f>Orders_Cleaned[[#This Row],[Quantity]]*Orders_Cleaned[[#This Row],[UnitPrice]]</f>
        <v>479.56</v>
      </c>
    </row>
    <row r="825" spans="1:15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  <c r="O825" s="4">
        <f>Orders_Cleaned[[#This Row],[Quantity]]*Orders_Cleaned[[#This Row],[UnitPrice]]</f>
        <v>2612.52</v>
      </c>
    </row>
    <row r="826" spans="1:15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  <c r="O826" s="4">
        <f>Orders_Cleaned[[#This Row],[Quantity]]*Orders_Cleaned[[#This Row],[UnitPrice]]</f>
        <v>1443.3000000000002</v>
      </c>
    </row>
    <row r="827" spans="1:15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  <c r="O827" s="4">
        <f>Orders_Cleaned[[#This Row],[Quantity]]*Orders_Cleaned[[#This Row],[UnitPrice]]</f>
        <v>1358.45</v>
      </c>
    </row>
    <row r="828" spans="1:15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  <c r="O828" s="4">
        <f>Orders_Cleaned[[#This Row],[Quantity]]*Orders_Cleaned[[#This Row],[UnitPrice]]</f>
        <v>1391.43</v>
      </c>
    </row>
    <row r="829" spans="1:15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  <c r="O829" s="4">
        <f>Orders_Cleaned[[#This Row],[Quantity]]*Orders_Cleaned[[#This Row],[UnitPrice]]</f>
        <v>1279.76</v>
      </c>
    </row>
    <row r="830" spans="1:15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  <c r="O830" s="4">
        <f>Orders_Cleaned[[#This Row],[Quantity]]*Orders_Cleaned[[#This Row],[UnitPrice]]</f>
        <v>1618.32</v>
      </c>
    </row>
    <row r="831" spans="1:15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  <c r="O831" s="4">
        <f>Orders_Cleaned[[#This Row],[Quantity]]*Orders_Cleaned[[#This Row],[UnitPrice]]</f>
        <v>76.930000000000007</v>
      </c>
    </row>
    <row r="832" spans="1:15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  <c r="O832" s="4">
        <f>Orders_Cleaned[[#This Row],[Quantity]]*Orders_Cleaned[[#This Row],[UnitPrice]]</f>
        <v>762.56</v>
      </c>
    </row>
    <row r="833" spans="1:15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  <c r="O833" s="4">
        <f>Orders_Cleaned[[#This Row],[Quantity]]*Orders_Cleaned[[#This Row],[UnitPrice]]</f>
        <v>177.46</v>
      </c>
    </row>
    <row r="834" spans="1:15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  <c r="O834" s="4">
        <f>Orders_Cleaned[[#This Row],[Quantity]]*Orders_Cleaned[[#This Row],[UnitPrice]]</f>
        <v>2428.5499999999997</v>
      </c>
    </row>
    <row r="835" spans="1:15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  <c r="O835" s="4">
        <f>Orders_Cleaned[[#This Row],[Quantity]]*Orders_Cleaned[[#This Row],[UnitPrice]]</f>
        <v>391.45000000000005</v>
      </c>
    </row>
    <row r="836" spans="1:15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  <c r="O836" s="4">
        <f>Orders_Cleaned[[#This Row],[Quantity]]*Orders_Cleaned[[#This Row],[UnitPrice]]</f>
        <v>110.7</v>
      </c>
    </row>
    <row r="837" spans="1:15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  <c r="O837" s="4">
        <f>Orders_Cleaned[[#This Row],[Quantity]]*Orders_Cleaned[[#This Row],[UnitPrice]]</f>
        <v>679.65</v>
      </c>
    </row>
    <row r="838" spans="1:15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  <c r="O838" s="4">
        <f>Orders_Cleaned[[#This Row],[Quantity]]*Orders_Cleaned[[#This Row],[UnitPrice]]</f>
        <v>178.44</v>
      </c>
    </row>
    <row r="839" spans="1:15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  <c r="O839" s="4">
        <f>Orders_Cleaned[[#This Row],[Quantity]]*Orders_Cleaned[[#This Row],[UnitPrice]]</f>
        <v>3277.75</v>
      </c>
    </row>
    <row r="840" spans="1:15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  <c r="O840" s="4">
        <f>Orders_Cleaned[[#This Row],[Quantity]]*Orders_Cleaned[[#This Row],[UnitPrice]]</f>
        <v>2308.3200000000002</v>
      </c>
    </row>
    <row r="841" spans="1:15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  <c r="O841" s="4">
        <f>Orders_Cleaned[[#This Row],[Quantity]]*Orders_Cleaned[[#This Row],[UnitPrice]]</f>
        <v>593.91</v>
      </c>
    </row>
    <row r="842" spans="1:15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  <c r="O842" s="4">
        <f>Orders_Cleaned[[#This Row],[Quantity]]*Orders_Cleaned[[#This Row],[UnitPrice]]</f>
        <v>1235.8499999999999</v>
      </c>
    </row>
    <row r="843" spans="1:15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  <c r="O843" s="4">
        <f>Orders_Cleaned[[#This Row],[Quantity]]*Orders_Cleaned[[#This Row],[UnitPrice]]</f>
        <v>886.44</v>
      </c>
    </row>
    <row r="844" spans="1:15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  <c r="O844" s="4">
        <f>Orders_Cleaned[[#This Row],[Quantity]]*Orders_Cleaned[[#This Row],[UnitPrice]]</f>
        <v>1092.42</v>
      </c>
    </row>
    <row r="845" spans="1:15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  <c r="O845" s="4">
        <f>Orders_Cleaned[[#This Row],[Quantity]]*Orders_Cleaned[[#This Row],[UnitPrice]]</f>
        <v>1290.18</v>
      </c>
    </row>
    <row r="846" spans="1:15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  <c r="O846" s="4">
        <f>Orders_Cleaned[[#This Row],[Quantity]]*Orders_Cleaned[[#This Row],[UnitPrice]]</f>
        <v>320.92</v>
      </c>
    </row>
    <row r="847" spans="1:15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  <c r="O847" s="4">
        <f>Orders_Cleaned[[#This Row],[Quantity]]*Orders_Cleaned[[#This Row],[UnitPrice]]</f>
        <v>322.08</v>
      </c>
    </row>
    <row r="848" spans="1:15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  <c r="O848" s="4">
        <f>Orders_Cleaned[[#This Row],[Quantity]]*Orders_Cleaned[[#This Row],[UnitPrice]]</f>
        <v>719.72</v>
      </c>
    </row>
    <row r="849" spans="1:15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  <c r="O849" s="4">
        <f>Orders_Cleaned[[#This Row],[Quantity]]*Orders_Cleaned[[#This Row],[UnitPrice]]</f>
        <v>1736.92</v>
      </c>
    </row>
    <row r="850" spans="1:15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  <c r="O850" s="4">
        <f>Orders_Cleaned[[#This Row],[Quantity]]*Orders_Cleaned[[#This Row],[UnitPrice]]</f>
        <v>1291.7</v>
      </c>
    </row>
    <row r="851" spans="1:15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  <c r="O851" s="4">
        <f>Orders_Cleaned[[#This Row],[Quantity]]*Orders_Cleaned[[#This Row],[UnitPrice]]</f>
        <v>857.4</v>
      </c>
    </row>
    <row r="852" spans="1:15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  <c r="O852" s="4">
        <f>Orders_Cleaned[[#This Row],[Quantity]]*Orders_Cleaned[[#This Row],[UnitPrice]]</f>
        <v>1915.5</v>
      </c>
    </row>
    <row r="853" spans="1:15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  <c r="O853" s="4">
        <f>Orders_Cleaned[[#This Row],[Quantity]]*Orders_Cleaned[[#This Row],[UnitPrice]]</f>
        <v>365.57</v>
      </c>
    </row>
    <row r="854" spans="1:15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  <c r="O854" s="4">
        <f>Orders_Cleaned[[#This Row],[Quantity]]*Orders_Cleaned[[#This Row],[UnitPrice]]</f>
        <v>1704.1499999999999</v>
      </c>
    </row>
    <row r="855" spans="1:15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  <c r="O855" s="4">
        <f>Orders_Cleaned[[#This Row],[Quantity]]*Orders_Cleaned[[#This Row],[UnitPrice]]</f>
        <v>1470.03</v>
      </c>
    </row>
    <row r="856" spans="1:15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  <c r="O856" s="4">
        <f>Orders_Cleaned[[#This Row],[Quantity]]*Orders_Cleaned[[#This Row],[UnitPrice]]</f>
        <v>1117.8000000000002</v>
      </c>
    </row>
    <row r="857" spans="1:15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  <c r="O857" s="4">
        <f>Orders_Cleaned[[#This Row],[Quantity]]*Orders_Cleaned[[#This Row],[UnitPrice]]</f>
        <v>1203.0500000000002</v>
      </c>
    </row>
    <row r="858" spans="1:15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  <c r="O858" s="4">
        <f>Orders_Cleaned[[#This Row],[Quantity]]*Orders_Cleaned[[#This Row],[UnitPrice]]</f>
        <v>586.62</v>
      </c>
    </row>
    <row r="859" spans="1:15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  <c r="O859" s="4">
        <f>Orders_Cleaned[[#This Row],[Quantity]]*Orders_Cleaned[[#This Row],[UnitPrice]]</f>
        <v>773.52</v>
      </c>
    </row>
    <row r="860" spans="1:15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  <c r="O860" s="4">
        <f>Orders_Cleaned[[#This Row],[Quantity]]*Orders_Cleaned[[#This Row],[UnitPrice]]</f>
        <v>2178.3000000000002</v>
      </c>
    </row>
    <row r="861" spans="1:15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  <c r="O861" s="4">
        <f>Orders_Cleaned[[#This Row],[Quantity]]*Orders_Cleaned[[#This Row],[UnitPrice]]</f>
        <v>1306.6499999999999</v>
      </c>
    </row>
    <row r="862" spans="1:15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  <c r="O862" s="4">
        <f>Orders_Cleaned[[#This Row],[Quantity]]*Orders_Cleaned[[#This Row],[UnitPrice]]</f>
        <v>422.54</v>
      </c>
    </row>
    <row r="863" spans="1:15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  <c r="O863" s="4">
        <f>Orders_Cleaned[[#This Row],[Quantity]]*Orders_Cleaned[[#This Row],[UnitPrice]]</f>
        <v>1652.25</v>
      </c>
    </row>
    <row r="864" spans="1:15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  <c r="O864" s="4">
        <f>Orders_Cleaned[[#This Row],[Quantity]]*Orders_Cleaned[[#This Row],[UnitPrice]]</f>
        <v>362.46</v>
      </c>
    </row>
    <row r="865" spans="1:15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  <c r="O865" s="4">
        <f>Orders_Cleaned[[#This Row],[Quantity]]*Orders_Cleaned[[#This Row],[UnitPrice]]</f>
        <v>14.06</v>
      </c>
    </row>
    <row r="866" spans="1:15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  <c r="O866" s="4">
        <f>Orders_Cleaned[[#This Row],[Quantity]]*Orders_Cleaned[[#This Row],[UnitPrice]]</f>
        <v>491.11</v>
      </c>
    </row>
    <row r="867" spans="1:15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  <c r="O867" s="4">
        <f>Orders_Cleaned[[#This Row],[Quantity]]*Orders_Cleaned[[#This Row],[UnitPrice]]</f>
        <v>2709.48</v>
      </c>
    </row>
    <row r="868" spans="1:15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  <c r="O868" s="4">
        <f>Orders_Cleaned[[#This Row],[Quantity]]*Orders_Cleaned[[#This Row],[UnitPrice]]</f>
        <v>946.25</v>
      </c>
    </row>
    <row r="869" spans="1:15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  <c r="O869" s="4">
        <f>Orders_Cleaned[[#This Row],[Quantity]]*Orders_Cleaned[[#This Row],[UnitPrice]]</f>
        <v>570.32000000000005</v>
      </c>
    </row>
    <row r="870" spans="1:15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  <c r="O870" s="4">
        <f>Orders_Cleaned[[#This Row],[Quantity]]*Orders_Cleaned[[#This Row],[UnitPrice]]</f>
        <v>1265.28</v>
      </c>
    </row>
    <row r="871" spans="1:15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  <c r="O871" s="4">
        <f>Orders_Cleaned[[#This Row],[Quantity]]*Orders_Cleaned[[#This Row],[UnitPrice]]</f>
        <v>1067.9000000000001</v>
      </c>
    </row>
    <row r="872" spans="1:15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  <c r="O872" s="4">
        <f>Orders_Cleaned[[#This Row],[Quantity]]*Orders_Cleaned[[#This Row],[UnitPrice]]</f>
        <v>1880.36</v>
      </c>
    </row>
    <row r="873" spans="1:15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  <c r="O873" s="4">
        <f>Orders_Cleaned[[#This Row],[Quantity]]*Orders_Cleaned[[#This Row],[UnitPrice]]</f>
        <v>972.90000000000009</v>
      </c>
    </row>
    <row r="874" spans="1:15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  <c r="O874" s="4">
        <f>Orders_Cleaned[[#This Row],[Quantity]]*Orders_Cleaned[[#This Row],[UnitPrice]]</f>
        <v>2517.36</v>
      </c>
    </row>
    <row r="875" spans="1:15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  <c r="O875" s="4">
        <f>Orders_Cleaned[[#This Row],[Quantity]]*Orders_Cleaned[[#This Row],[UnitPrice]]</f>
        <v>410.52</v>
      </c>
    </row>
    <row r="876" spans="1:15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  <c r="O876" s="4">
        <f>Orders_Cleaned[[#This Row],[Quantity]]*Orders_Cleaned[[#This Row],[UnitPrice]]</f>
        <v>977.8</v>
      </c>
    </row>
    <row r="877" spans="1:15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  <c r="O877" s="4">
        <f>Orders_Cleaned[[#This Row],[Quantity]]*Orders_Cleaned[[#This Row],[UnitPrice]]</f>
        <v>666.94999999999993</v>
      </c>
    </row>
    <row r="878" spans="1:15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  <c r="O878" s="4">
        <f>Orders_Cleaned[[#This Row],[Quantity]]*Orders_Cleaned[[#This Row],[UnitPrice]]</f>
        <v>3044.5499999999997</v>
      </c>
    </row>
    <row r="879" spans="1:15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  <c r="O879" s="4">
        <f>Orders_Cleaned[[#This Row],[Quantity]]*Orders_Cleaned[[#This Row],[UnitPrice]]</f>
        <v>524.05999999999995</v>
      </c>
    </row>
    <row r="880" spans="1:15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  <c r="O880" s="4">
        <f>Orders_Cleaned[[#This Row],[Quantity]]*Orders_Cleaned[[#This Row],[UnitPrice]]</f>
        <v>661.38</v>
      </c>
    </row>
    <row r="881" spans="1:15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  <c r="O881" s="4">
        <f>Orders_Cleaned[[#This Row],[Quantity]]*Orders_Cleaned[[#This Row],[UnitPrice]]</f>
        <v>1095.3399999999999</v>
      </c>
    </row>
    <row r="882" spans="1:15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  <c r="O882" s="4">
        <f>Orders_Cleaned[[#This Row],[Quantity]]*Orders_Cleaned[[#This Row],[UnitPrice]]</f>
        <v>934.8</v>
      </c>
    </row>
    <row r="883" spans="1:15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  <c r="O883" s="4">
        <f>Orders_Cleaned[[#This Row],[Quantity]]*Orders_Cleaned[[#This Row],[UnitPrice]]</f>
        <v>897.7</v>
      </c>
    </row>
    <row r="884" spans="1:15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  <c r="O884" s="4">
        <f>Orders_Cleaned[[#This Row],[Quantity]]*Orders_Cleaned[[#This Row],[UnitPrice]]</f>
        <v>548.24</v>
      </c>
    </row>
    <row r="885" spans="1:15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  <c r="O885" s="4">
        <f>Orders_Cleaned[[#This Row],[Quantity]]*Orders_Cleaned[[#This Row],[UnitPrice]]</f>
        <v>2807.4</v>
      </c>
    </row>
    <row r="886" spans="1:15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  <c r="O886" s="4">
        <f>Orders_Cleaned[[#This Row],[Quantity]]*Orders_Cleaned[[#This Row],[UnitPrice]]</f>
        <v>595.54</v>
      </c>
    </row>
    <row r="887" spans="1:15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  <c r="O887" s="4">
        <f>Orders_Cleaned[[#This Row],[Quantity]]*Orders_Cleaned[[#This Row],[UnitPrice]]</f>
        <v>2062.36</v>
      </c>
    </row>
    <row r="888" spans="1:15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  <c r="O888" s="4">
        <f>Orders_Cleaned[[#This Row],[Quantity]]*Orders_Cleaned[[#This Row],[UnitPrice]]</f>
        <v>460.13</v>
      </c>
    </row>
    <row r="889" spans="1:15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  <c r="O889" s="4">
        <f>Orders_Cleaned[[#This Row],[Quantity]]*Orders_Cleaned[[#This Row],[UnitPrice]]</f>
        <v>514.98</v>
      </c>
    </row>
    <row r="890" spans="1:15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  <c r="O890" s="4">
        <f>Orders_Cleaned[[#This Row],[Quantity]]*Orders_Cleaned[[#This Row],[UnitPrice]]</f>
        <v>533.9</v>
      </c>
    </row>
    <row r="891" spans="1:15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  <c r="O891" s="4">
        <f>Orders_Cleaned[[#This Row],[Quantity]]*Orders_Cleaned[[#This Row],[UnitPrice]]</f>
        <v>3253.6000000000004</v>
      </c>
    </row>
    <row r="892" spans="1:15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  <c r="O892" s="4">
        <f>Orders_Cleaned[[#This Row],[Quantity]]*Orders_Cleaned[[#This Row],[UnitPrice]]</f>
        <v>1318.59</v>
      </c>
    </row>
    <row r="893" spans="1:15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  <c r="O893" s="4">
        <f>Orders_Cleaned[[#This Row],[Quantity]]*Orders_Cleaned[[#This Row],[UnitPrice]]</f>
        <v>1963.62</v>
      </c>
    </row>
    <row r="894" spans="1:15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  <c r="O894" s="4">
        <f>Orders_Cleaned[[#This Row],[Quantity]]*Orders_Cleaned[[#This Row],[UnitPrice]]</f>
        <v>394.53</v>
      </c>
    </row>
    <row r="895" spans="1:15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  <c r="O895" s="4">
        <f>Orders_Cleaned[[#This Row],[Quantity]]*Orders_Cleaned[[#This Row],[UnitPrice]]</f>
        <v>678.01</v>
      </c>
    </row>
    <row r="896" spans="1:15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  <c r="O896" s="4">
        <f>Orders_Cleaned[[#This Row],[Quantity]]*Orders_Cleaned[[#This Row],[UnitPrice]]</f>
        <v>1725.03</v>
      </c>
    </row>
    <row r="897" spans="1:15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  <c r="O897" s="4">
        <f>Orders_Cleaned[[#This Row],[Quantity]]*Orders_Cleaned[[#This Row],[UnitPrice]]</f>
        <v>463.91999999999996</v>
      </c>
    </row>
    <row r="898" spans="1:15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  <c r="O898" s="4">
        <f>Orders_Cleaned[[#This Row],[Quantity]]*Orders_Cleaned[[#This Row],[UnitPrice]]</f>
        <v>441.87</v>
      </c>
    </row>
    <row r="899" spans="1:15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  <c r="O899" s="4">
        <f>Orders_Cleaned[[#This Row],[Quantity]]*Orders_Cleaned[[#This Row],[UnitPrice]]</f>
        <v>1925.92</v>
      </c>
    </row>
    <row r="900" spans="1:15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  <c r="O900" s="4">
        <f>Orders_Cleaned[[#This Row],[Quantity]]*Orders_Cleaned[[#This Row],[UnitPrice]]</f>
        <v>475.11</v>
      </c>
    </row>
    <row r="901" spans="1:15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  <c r="O901" s="4">
        <f>Orders_Cleaned[[#This Row],[Quantity]]*Orders_Cleaned[[#This Row],[UnitPrice]]</f>
        <v>646.74</v>
      </c>
    </row>
    <row r="902" spans="1:15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  <c r="O902" s="4">
        <f>Orders_Cleaned[[#This Row],[Quantity]]*Orders_Cleaned[[#This Row],[UnitPrice]]</f>
        <v>369.15</v>
      </c>
    </row>
    <row r="903" spans="1:15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  <c r="O903" s="4">
        <f>Orders_Cleaned[[#This Row],[Quantity]]*Orders_Cleaned[[#This Row],[UnitPrice]]</f>
        <v>458.63</v>
      </c>
    </row>
    <row r="904" spans="1:15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  <c r="O904" s="4">
        <f>Orders_Cleaned[[#This Row],[Quantity]]*Orders_Cleaned[[#This Row],[UnitPrice]]</f>
        <v>721</v>
      </c>
    </row>
    <row r="905" spans="1:15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  <c r="O905" s="4">
        <f>Orders_Cleaned[[#This Row],[Quantity]]*Orders_Cleaned[[#This Row],[UnitPrice]]</f>
        <v>1420.47</v>
      </c>
    </row>
    <row r="906" spans="1:15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  <c r="O906" s="4">
        <f>Orders_Cleaned[[#This Row],[Quantity]]*Orders_Cleaned[[#This Row],[UnitPrice]]</f>
        <v>949.72</v>
      </c>
    </row>
    <row r="907" spans="1:15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  <c r="O907" s="4">
        <f>Orders_Cleaned[[#This Row],[Quantity]]*Orders_Cleaned[[#This Row],[UnitPrice]]</f>
        <v>442.39</v>
      </c>
    </row>
    <row r="908" spans="1:15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  <c r="O908" s="4">
        <f>Orders_Cleaned[[#This Row],[Quantity]]*Orders_Cleaned[[#This Row],[UnitPrice]]</f>
        <v>62.12</v>
      </c>
    </row>
    <row r="909" spans="1:15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  <c r="O909" s="4">
        <f>Orders_Cleaned[[#This Row],[Quantity]]*Orders_Cleaned[[#This Row],[UnitPrice]]</f>
        <v>1491.9499999999998</v>
      </c>
    </row>
    <row r="910" spans="1:15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  <c r="O910" s="4">
        <f>Orders_Cleaned[[#This Row],[Quantity]]*Orders_Cleaned[[#This Row],[UnitPrice]]</f>
        <v>1395.86</v>
      </c>
    </row>
    <row r="911" spans="1:15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  <c r="O911" s="4">
        <f>Orders_Cleaned[[#This Row],[Quantity]]*Orders_Cleaned[[#This Row],[UnitPrice]]</f>
        <v>583.70000000000005</v>
      </c>
    </row>
    <row r="912" spans="1:15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  <c r="O912" s="4">
        <f>Orders_Cleaned[[#This Row],[Quantity]]*Orders_Cleaned[[#This Row],[UnitPrice]]</f>
        <v>926.94</v>
      </c>
    </row>
    <row r="913" spans="1:15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  <c r="O913" s="4">
        <f>Orders_Cleaned[[#This Row],[Quantity]]*Orders_Cleaned[[#This Row],[UnitPrice]]</f>
        <v>1984.3000000000002</v>
      </c>
    </row>
    <row r="914" spans="1:15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  <c r="O914" s="4">
        <f>Orders_Cleaned[[#This Row],[Quantity]]*Orders_Cleaned[[#This Row],[UnitPrice]]</f>
        <v>279.38</v>
      </c>
    </row>
    <row r="915" spans="1:15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  <c r="O915" s="4">
        <f>Orders_Cleaned[[#This Row],[Quantity]]*Orders_Cleaned[[#This Row],[UnitPrice]]</f>
        <v>2379.75</v>
      </c>
    </row>
    <row r="916" spans="1:15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  <c r="O916" s="4">
        <f>Orders_Cleaned[[#This Row],[Quantity]]*Orders_Cleaned[[#This Row],[UnitPrice]]</f>
        <v>626.6</v>
      </c>
    </row>
    <row r="917" spans="1:15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  <c r="O917" s="4">
        <f>Orders_Cleaned[[#This Row],[Quantity]]*Orders_Cleaned[[#This Row],[UnitPrice]]</f>
        <v>2011.96</v>
      </c>
    </row>
    <row r="918" spans="1:15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  <c r="O918" s="4">
        <f>Orders_Cleaned[[#This Row],[Quantity]]*Orders_Cleaned[[#This Row],[UnitPrice]]</f>
        <v>2894.15</v>
      </c>
    </row>
    <row r="919" spans="1:15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  <c r="O919" s="4">
        <f>Orders_Cleaned[[#This Row],[Quantity]]*Orders_Cleaned[[#This Row],[UnitPrice]]</f>
        <v>1919.1</v>
      </c>
    </row>
    <row r="920" spans="1:15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  <c r="O920" s="4">
        <f>Orders_Cleaned[[#This Row],[Quantity]]*Orders_Cleaned[[#This Row],[UnitPrice]]</f>
        <v>1841.25</v>
      </c>
    </row>
    <row r="921" spans="1:15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  <c r="O921" s="4">
        <f>Orders_Cleaned[[#This Row],[Quantity]]*Orders_Cleaned[[#This Row],[UnitPrice]]</f>
        <v>749.2</v>
      </c>
    </row>
    <row r="922" spans="1:15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  <c r="O922" s="4">
        <f>Orders_Cleaned[[#This Row],[Quantity]]*Orders_Cleaned[[#This Row],[UnitPrice]]</f>
        <v>856.18</v>
      </c>
    </row>
    <row r="923" spans="1:15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  <c r="O923" s="4">
        <f>Orders_Cleaned[[#This Row],[Quantity]]*Orders_Cleaned[[#This Row],[UnitPrice]]</f>
        <v>438.93</v>
      </c>
    </row>
    <row r="924" spans="1:15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  <c r="O924" s="4">
        <f>Orders_Cleaned[[#This Row],[Quantity]]*Orders_Cleaned[[#This Row],[UnitPrice]]</f>
        <v>1127.6400000000001</v>
      </c>
    </row>
    <row r="925" spans="1:15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  <c r="O925" s="4">
        <f>Orders_Cleaned[[#This Row],[Quantity]]*Orders_Cleaned[[#This Row],[UnitPrice]]</f>
        <v>1949.79</v>
      </c>
    </row>
    <row r="926" spans="1:15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  <c r="O926" s="4">
        <f>Orders_Cleaned[[#This Row],[Quantity]]*Orders_Cleaned[[#This Row],[UnitPrice]]</f>
        <v>1342.15</v>
      </c>
    </row>
    <row r="927" spans="1:15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  <c r="O927" s="4">
        <f>Orders_Cleaned[[#This Row],[Quantity]]*Orders_Cleaned[[#This Row],[UnitPrice]]</f>
        <v>2512.3500000000004</v>
      </c>
    </row>
    <row r="928" spans="1:15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  <c r="O928" s="4">
        <f>Orders_Cleaned[[#This Row],[Quantity]]*Orders_Cleaned[[#This Row],[UnitPrice]]</f>
        <v>26.95</v>
      </c>
    </row>
    <row r="929" spans="1:15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  <c r="O929" s="4">
        <f>Orders_Cleaned[[#This Row],[Quantity]]*Orders_Cleaned[[#This Row],[UnitPrice]]</f>
        <v>258.76</v>
      </c>
    </row>
    <row r="930" spans="1:15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  <c r="O930" s="4">
        <f>Orders_Cleaned[[#This Row],[Quantity]]*Orders_Cleaned[[#This Row],[UnitPrice]]</f>
        <v>741.33</v>
      </c>
    </row>
    <row r="931" spans="1:15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  <c r="O931" s="4">
        <f>Orders_Cleaned[[#This Row],[Quantity]]*Orders_Cleaned[[#This Row],[UnitPrice]]</f>
        <v>1072.5</v>
      </c>
    </row>
    <row r="932" spans="1:15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  <c r="O932" s="4">
        <f>Orders_Cleaned[[#This Row],[Quantity]]*Orders_Cleaned[[#This Row],[UnitPrice]]</f>
        <v>912.08</v>
      </c>
    </row>
    <row r="933" spans="1:15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  <c r="O933" s="4">
        <f>Orders_Cleaned[[#This Row],[Quantity]]*Orders_Cleaned[[#This Row],[UnitPrice]]</f>
        <v>80.459999999999994</v>
      </c>
    </row>
    <row r="934" spans="1:15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  <c r="O934" s="4">
        <f>Orders_Cleaned[[#This Row],[Quantity]]*Orders_Cleaned[[#This Row],[UnitPrice]]</f>
        <v>144.78</v>
      </c>
    </row>
    <row r="935" spans="1:15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  <c r="O935" s="4">
        <f>Orders_Cleaned[[#This Row],[Quantity]]*Orders_Cleaned[[#This Row],[UnitPrice]]</f>
        <v>788.32</v>
      </c>
    </row>
    <row r="936" spans="1:15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  <c r="O936" s="4">
        <f>Orders_Cleaned[[#This Row],[Quantity]]*Orders_Cleaned[[#This Row],[UnitPrice]]</f>
        <v>479.36</v>
      </c>
    </row>
    <row r="937" spans="1:15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  <c r="O937" s="4">
        <f>Orders_Cleaned[[#This Row],[Quantity]]*Orders_Cleaned[[#This Row],[UnitPrice]]</f>
        <v>2078.13</v>
      </c>
    </row>
    <row r="938" spans="1:15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  <c r="O938" s="4">
        <f>Orders_Cleaned[[#This Row],[Quantity]]*Orders_Cleaned[[#This Row],[UnitPrice]]</f>
        <v>226.64</v>
      </c>
    </row>
    <row r="939" spans="1:15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  <c r="O939" s="4">
        <f>Orders_Cleaned[[#This Row],[Quantity]]*Orders_Cleaned[[#This Row],[UnitPrice]]</f>
        <v>597.05999999999995</v>
      </c>
    </row>
    <row r="940" spans="1:15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  <c r="O940" s="4">
        <f>Orders_Cleaned[[#This Row],[Quantity]]*Orders_Cleaned[[#This Row],[UnitPrice]]</f>
        <v>994.37999999999988</v>
      </c>
    </row>
    <row r="941" spans="1:15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  <c r="O941" s="4">
        <f>Orders_Cleaned[[#This Row],[Quantity]]*Orders_Cleaned[[#This Row],[UnitPrice]]</f>
        <v>1042.8</v>
      </c>
    </row>
    <row r="942" spans="1:15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  <c r="O942" s="4">
        <f>Orders_Cleaned[[#This Row],[Quantity]]*Orders_Cleaned[[#This Row],[UnitPrice]]</f>
        <v>1221.28</v>
      </c>
    </row>
    <row r="943" spans="1:15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  <c r="O943" s="4">
        <f>Orders_Cleaned[[#This Row],[Quantity]]*Orders_Cleaned[[#This Row],[UnitPrice]]</f>
        <v>558.5</v>
      </c>
    </row>
    <row r="944" spans="1:15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  <c r="O944" s="4">
        <f>Orders_Cleaned[[#This Row],[Quantity]]*Orders_Cleaned[[#This Row],[UnitPrice]]</f>
        <v>479.76</v>
      </c>
    </row>
    <row r="945" spans="1:15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  <c r="O945" s="4">
        <f>Orders_Cleaned[[#This Row],[Quantity]]*Orders_Cleaned[[#This Row],[UnitPrice]]</f>
        <v>580.47</v>
      </c>
    </row>
    <row r="946" spans="1:15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  <c r="O946" s="4">
        <f>Orders_Cleaned[[#This Row],[Quantity]]*Orders_Cleaned[[#This Row],[UnitPrice]]</f>
        <v>852.44</v>
      </c>
    </row>
    <row r="947" spans="1:15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  <c r="O947" s="4">
        <f>Orders_Cleaned[[#This Row],[Quantity]]*Orders_Cleaned[[#This Row],[UnitPrice]]</f>
        <v>1382.2</v>
      </c>
    </row>
    <row r="948" spans="1:15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  <c r="O948" s="4">
        <f>Orders_Cleaned[[#This Row],[Quantity]]*Orders_Cleaned[[#This Row],[UnitPrice]]</f>
        <v>809.92</v>
      </c>
    </row>
    <row r="949" spans="1:15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  <c r="O949" s="4">
        <f>Orders_Cleaned[[#This Row],[Quantity]]*Orders_Cleaned[[#This Row],[UnitPrice]]</f>
        <v>1862.64</v>
      </c>
    </row>
    <row r="950" spans="1:15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  <c r="O950" s="4">
        <f>Orders_Cleaned[[#This Row],[Quantity]]*Orders_Cleaned[[#This Row],[UnitPrice]]</f>
        <v>1188.1400000000001</v>
      </c>
    </row>
    <row r="951" spans="1:15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  <c r="O951" s="4">
        <f>Orders_Cleaned[[#This Row],[Quantity]]*Orders_Cleaned[[#This Row],[UnitPrice]]</f>
        <v>551.9</v>
      </c>
    </row>
    <row r="952" spans="1:15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  <c r="O952" s="4">
        <f>Orders_Cleaned[[#This Row],[Quantity]]*Orders_Cleaned[[#This Row],[UnitPrice]]</f>
        <v>596.24</v>
      </c>
    </row>
    <row r="953" spans="1:15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  <c r="O953" s="4">
        <f>Orders_Cleaned[[#This Row],[Quantity]]*Orders_Cleaned[[#This Row],[UnitPrice]]</f>
        <v>612.48</v>
      </c>
    </row>
    <row r="954" spans="1:15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  <c r="O954" s="4">
        <f>Orders_Cleaned[[#This Row],[Quantity]]*Orders_Cleaned[[#This Row],[UnitPrice]]</f>
        <v>1510.17</v>
      </c>
    </row>
    <row r="955" spans="1:15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  <c r="O955" s="4">
        <f>Orders_Cleaned[[#This Row],[Quantity]]*Orders_Cleaned[[#This Row],[UnitPrice]]</f>
        <v>131.61000000000001</v>
      </c>
    </row>
    <row r="956" spans="1:15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  <c r="O956" s="4">
        <f>Orders_Cleaned[[#This Row],[Quantity]]*Orders_Cleaned[[#This Row],[UnitPrice]]</f>
        <v>1330.32</v>
      </c>
    </row>
    <row r="957" spans="1:15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  <c r="O957" s="4">
        <f>Orders_Cleaned[[#This Row],[Quantity]]*Orders_Cleaned[[#This Row],[UnitPrice]]</f>
        <v>408.13</v>
      </c>
    </row>
    <row r="958" spans="1:15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  <c r="O958" s="4">
        <f>Orders_Cleaned[[#This Row],[Quantity]]*Orders_Cleaned[[#This Row],[UnitPrice]]</f>
        <v>321.95999999999998</v>
      </c>
    </row>
    <row r="959" spans="1:15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  <c r="O959" s="4">
        <f>Orders_Cleaned[[#This Row],[Quantity]]*Orders_Cleaned[[#This Row],[UnitPrice]]</f>
        <v>3219.45</v>
      </c>
    </row>
    <row r="960" spans="1:15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  <c r="O960" s="4">
        <f>Orders_Cleaned[[#This Row],[Quantity]]*Orders_Cleaned[[#This Row],[UnitPrice]]</f>
        <v>475.98</v>
      </c>
    </row>
    <row r="961" spans="1:15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  <c r="O961" s="4">
        <f>Orders_Cleaned[[#This Row],[Quantity]]*Orders_Cleaned[[#This Row],[UnitPrice]]</f>
        <v>287.64</v>
      </c>
    </row>
    <row r="962" spans="1:15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  <c r="O962" s="4">
        <f>Orders_Cleaned[[#This Row],[Quantity]]*Orders_Cleaned[[#This Row],[UnitPrice]]</f>
        <v>1137.21</v>
      </c>
    </row>
    <row r="963" spans="1:15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  <c r="O963" s="4">
        <f>Orders_Cleaned[[#This Row],[Quantity]]*Orders_Cleaned[[#This Row],[UnitPrice]]</f>
        <v>601.36</v>
      </c>
    </row>
    <row r="964" spans="1:15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  <c r="O964" s="4">
        <f>Orders_Cleaned[[#This Row],[Quantity]]*Orders_Cleaned[[#This Row],[UnitPrice]]</f>
        <v>284.16000000000003</v>
      </c>
    </row>
    <row r="965" spans="1:15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  <c r="O965" s="4">
        <f>Orders_Cleaned[[#This Row],[Quantity]]*Orders_Cleaned[[#This Row],[UnitPrice]]</f>
        <v>2651.7000000000003</v>
      </c>
    </row>
    <row r="966" spans="1:15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  <c r="O966" s="4">
        <f>Orders_Cleaned[[#This Row],[Quantity]]*Orders_Cleaned[[#This Row],[UnitPrice]]</f>
        <v>1822.1000000000001</v>
      </c>
    </row>
    <row r="967" spans="1:15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  <c r="O967" s="4">
        <f>Orders_Cleaned[[#This Row],[Quantity]]*Orders_Cleaned[[#This Row],[UnitPrice]]</f>
        <v>2313.12</v>
      </c>
    </row>
    <row r="968" spans="1:15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  <c r="O968" s="4">
        <f>Orders_Cleaned[[#This Row],[Quantity]]*Orders_Cleaned[[#This Row],[UnitPrice]]</f>
        <v>1402.6</v>
      </c>
    </row>
    <row r="969" spans="1:15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  <c r="O969" s="4">
        <f>Orders_Cleaned[[#This Row],[Quantity]]*Orders_Cleaned[[#This Row],[UnitPrice]]</f>
        <v>3194.6</v>
      </c>
    </row>
    <row r="970" spans="1:15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  <c r="O970" s="4">
        <f>Orders_Cleaned[[#This Row],[Quantity]]*Orders_Cleaned[[#This Row],[UnitPrice]]</f>
        <v>1648.8</v>
      </c>
    </row>
    <row r="971" spans="1:15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  <c r="O971" s="4">
        <f>Orders_Cleaned[[#This Row],[Quantity]]*Orders_Cleaned[[#This Row],[UnitPrice]]</f>
        <v>440.34</v>
      </c>
    </row>
    <row r="972" spans="1:15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  <c r="O972" s="4">
        <f>Orders_Cleaned[[#This Row],[Quantity]]*Orders_Cleaned[[#This Row],[UnitPrice]]</f>
        <v>627.15</v>
      </c>
    </row>
    <row r="973" spans="1:15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  <c r="O973" s="4">
        <f>Orders_Cleaned[[#This Row],[Quantity]]*Orders_Cleaned[[#This Row],[UnitPrice]]</f>
        <v>1210.52</v>
      </c>
    </row>
    <row r="974" spans="1:15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  <c r="O974" s="4">
        <f>Orders_Cleaned[[#This Row],[Quantity]]*Orders_Cleaned[[#This Row],[UnitPrice]]</f>
        <v>90.27</v>
      </c>
    </row>
    <row r="975" spans="1:15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  <c r="O975" s="4">
        <f>Orders_Cleaned[[#This Row],[Quantity]]*Orders_Cleaned[[#This Row],[UnitPrice]]</f>
        <v>1153.8500000000001</v>
      </c>
    </row>
    <row r="976" spans="1:15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  <c r="O976" s="4">
        <f>Orders_Cleaned[[#This Row],[Quantity]]*Orders_Cleaned[[#This Row],[UnitPrice]]</f>
        <v>1333.8999999999999</v>
      </c>
    </row>
    <row r="977" spans="1:15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  <c r="O977" s="4">
        <f>Orders_Cleaned[[#This Row],[Quantity]]*Orders_Cleaned[[#This Row],[UnitPrice]]</f>
        <v>105.92</v>
      </c>
    </row>
    <row r="978" spans="1:15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  <c r="O978" s="4">
        <f>Orders_Cleaned[[#This Row],[Quantity]]*Orders_Cleaned[[#This Row],[UnitPrice]]</f>
        <v>1767.8999999999999</v>
      </c>
    </row>
    <row r="979" spans="1:15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  <c r="O979" s="4">
        <f>Orders_Cleaned[[#This Row],[Quantity]]*Orders_Cleaned[[#This Row],[UnitPrice]]</f>
        <v>2597.88</v>
      </c>
    </row>
    <row r="980" spans="1:15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  <c r="O980" s="4">
        <f>Orders_Cleaned[[#This Row],[Quantity]]*Orders_Cleaned[[#This Row],[UnitPrice]]</f>
        <v>429.96</v>
      </c>
    </row>
    <row r="981" spans="1:15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  <c r="O981" s="4">
        <f>Orders_Cleaned[[#This Row],[Quantity]]*Orders_Cleaned[[#This Row],[UnitPrice]]</f>
        <v>2007.1799999999998</v>
      </c>
    </row>
    <row r="982" spans="1:15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  <c r="O982" s="4">
        <f>Orders_Cleaned[[#This Row],[Quantity]]*Orders_Cleaned[[#This Row],[UnitPrice]]</f>
        <v>208.95000000000002</v>
      </c>
    </row>
    <row r="983" spans="1:15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  <c r="O983" s="4">
        <f>Orders_Cleaned[[#This Row],[Quantity]]*Orders_Cleaned[[#This Row],[UnitPrice]]</f>
        <v>547.32000000000005</v>
      </c>
    </row>
    <row r="984" spans="1:15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  <c r="O984" s="4">
        <f>Orders_Cleaned[[#This Row],[Quantity]]*Orders_Cleaned[[#This Row],[UnitPrice]]</f>
        <v>304.11</v>
      </c>
    </row>
    <row r="985" spans="1:15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  <c r="O985" s="4">
        <f>Orders_Cleaned[[#This Row],[Quantity]]*Orders_Cleaned[[#This Row],[UnitPrice]]</f>
        <v>1185.1199999999999</v>
      </c>
    </row>
    <row r="986" spans="1:15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  <c r="O986" s="4">
        <f>Orders_Cleaned[[#This Row],[Quantity]]*Orders_Cleaned[[#This Row],[UnitPrice]]</f>
        <v>77.64</v>
      </c>
    </row>
    <row r="987" spans="1:15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  <c r="O987" s="4">
        <f>Orders_Cleaned[[#This Row],[Quantity]]*Orders_Cleaned[[#This Row],[UnitPrice]]</f>
        <v>243.71</v>
      </c>
    </row>
    <row r="988" spans="1:15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  <c r="O988" s="4">
        <f>Orders_Cleaned[[#This Row],[Quantity]]*Orders_Cleaned[[#This Row],[UnitPrice]]</f>
        <v>2579.84</v>
      </c>
    </row>
    <row r="989" spans="1:15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  <c r="O989" s="4">
        <f>Orders_Cleaned[[#This Row],[Quantity]]*Orders_Cleaned[[#This Row],[UnitPrice]]</f>
        <v>1418.65</v>
      </c>
    </row>
    <row r="990" spans="1:15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  <c r="O990" s="4">
        <f>Orders_Cleaned[[#This Row],[Quantity]]*Orders_Cleaned[[#This Row],[UnitPrice]]</f>
        <v>1259.1199999999999</v>
      </c>
    </row>
    <row r="991" spans="1:15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  <c r="O991" s="4">
        <f>Orders_Cleaned[[#This Row],[Quantity]]*Orders_Cleaned[[#This Row],[UnitPrice]]</f>
        <v>984.44</v>
      </c>
    </row>
    <row r="992" spans="1:15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  <c r="O992" s="4">
        <f>Orders_Cleaned[[#This Row],[Quantity]]*Orders_Cleaned[[#This Row],[UnitPrice]]</f>
        <v>836.52</v>
      </c>
    </row>
    <row r="993" spans="1:15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  <c r="O993" s="4">
        <f>Orders_Cleaned[[#This Row],[Quantity]]*Orders_Cleaned[[#This Row],[UnitPrice]]</f>
        <v>635.90000000000009</v>
      </c>
    </row>
    <row r="994" spans="1:15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  <c r="O994" s="4">
        <f>Orders_Cleaned[[#This Row],[Quantity]]*Orders_Cleaned[[#This Row],[UnitPrice]]</f>
        <v>1758.63</v>
      </c>
    </row>
    <row r="995" spans="1:15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  <c r="O995" s="4">
        <f>Orders_Cleaned[[#This Row],[Quantity]]*Orders_Cleaned[[#This Row],[UnitPrice]]</f>
        <v>802.34999999999991</v>
      </c>
    </row>
    <row r="996" spans="1:15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  <c r="O996" s="4">
        <f>Orders_Cleaned[[#This Row],[Quantity]]*Orders_Cleaned[[#This Row],[UnitPrice]]</f>
        <v>2462.6</v>
      </c>
    </row>
    <row r="997" spans="1:15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  <c r="O997" s="4">
        <f>Orders_Cleaned[[#This Row],[Quantity]]*Orders_Cleaned[[#This Row],[UnitPrice]]</f>
        <v>226.58</v>
      </c>
    </row>
    <row r="998" spans="1:15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  <c r="O998" s="4">
        <f>Orders_Cleaned[[#This Row],[Quantity]]*Orders_Cleaned[[#This Row],[UnitPrice]]</f>
        <v>1895.44</v>
      </c>
    </row>
    <row r="999" spans="1:15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  <c r="O999" s="4">
        <f>Orders_Cleaned[[#This Row],[Quantity]]*Orders_Cleaned[[#This Row],[UnitPrice]]</f>
        <v>1334.25</v>
      </c>
    </row>
    <row r="1000" spans="1:15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  <c r="O1000" s="4">
        <f>Orders_Cleaned[[#This Row],[Quantity]]*Orders_Cleaned[[#This Row],[UnitPrice]]</f>
        <v>367.34</v>
      </c>
    </row>
    <row r="1001" spans="1:15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  <c r="O1001" s="4">
        <f>Orders_Cleaned[[#This Row],[Quantity]]*Orders_Cleaned[[#This Row],[UnitPrice]]</f>
        <v>483.38</v>
      </c>
    </row>
    <row r="1002" spans="1:15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  <c r="O1002" s="4">
        <f>Orders_Cleaned[[#This Row],[Quantity]]*Orders_Cleaned[[#This Row],[UnitPrice]]</f>
        <v>1304.6500000000001</v>
      </c>
    </row>
    <row r="1003" spans="1:15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  <c r="O1003" s="4">
        <f>Orders_Cleaned[[#This Row],[Quantity]]*Orders_Cleaned[[#This Row],[UnitPrice]]</f>
        <v>507.36</v>
      </c>
    </row>
    <row r="1004" spans="1:15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  <c r="O1004" s="4">
        <f>Orders_Cleaned[[#This Row],[Quantity]]*Orders_Cleaned[[#This Row],[UnitPrice]]</f>
        <v>2799.52</v>
      </c>
    </row>
    <row r="1005" spans="1:15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  <c r="O1005" s="4">
        <f>Orders_Cleaned[[#This Row],[Quantity]]*Orders_Cleaned[[#This Row],[UnitPrice]]</f>
        <v>1599.8500000000001</v>
      </c>
    </row>
    <row r="1006" spans="1:15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  <c r="O1006" s="4">
        <f>Orders_Cleaned[[#This Row],[Quantity]]*Orders_Cleaned[[#This Row],[UnitPrice]]</f>
        <v>987.64</v>
      </c>
    </row>
    <row r="1007" spans="1:15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  <c r="O1007" s="4">
        <f>Orders_Cleaned[[#This Row],[Quantity]]*Orders_Cleaned[[#This Row],[UnitPrice]]</f>
        <v>1178.5500000000002</v>
      </c>
    </row>
    <row r="1008" spans="1:15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  <c r="O1008" s="4">
        <f>Orders_Cleaned[[#This Row],[Quantity]]*Orders_Cleaned[[#This Row],[UnitPrice]]</f>
        <v>2104.9</v>
      </c>
    </row>
    <row r="1009" spans="1:15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  <c r="O1009" s="4">
        <f>Orders_Cleaned[[#This Row],[Quantity]]*Orders_Cleaned[[#This Row],[UnitPrice]]</f>
        <v>146.52000000000001</v>
      </c>
    </row>
    <row r="1010" spans="1:15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  <c r="O1010" s="4">
        <f>Orders_Cleaned[[#This Row],[Quantity]]*Orders_Cleaned[[#This Row],[UnitPrice]]</f>
        <v>1232.6399999999999</v>
      </c>
    </row>
    <row r="1011" spans="1:15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  <c r="O1011" s="4">
        <f>Orders_Cleaned[[#This Row],[Quantity]]*Orders_Cleaned[[#This Row],[UnitPrice]]</f>
        <v>352.92</v>
      </c>
    </row>
    <row r="1012" spans="1:15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  <c r="O1012" s="4">
        <f>Orders_Cleaned[[#This Row],[Quantity]]*Orders_Cleaned[[#This Row],[UnitPrice]]</f>
        <v>1978.71</v>
      </c>
    </row>
    <row r="1013" spans="1:15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  <c r="O1013" s="4">
        <f>Orders_Cleaned[[#This Row],[Quantity]]*Orders_Cleaned[[#This Row],[UnitPrice]]</f>
        <v>956.72</v>
      </c>
    </row>
    <row r="1014" spans="1:15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  <c r="O1014" s="4">
        <f>Orders_Cleaned[[#This Row],[Quantity]]*Orders_Cleaned[[#This Row],[UnitPrice]]</f>
        <v>120.2</v>
      </c>
    </row>
    <row r="1015" spans="1:15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  <c r="O1015" s="4">
        <f>Orders_Cleaned[[#This Row],[Quantity]]*Orders_Cleaned[[#This Row],[UnitPrice]]</f>
        <v>1202.24</v>
      </c>
    </row>
    <row r="1016" spans="1:15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  <c r="O1016" s="4">
        <f>Orders_Cleaned[[#This Row],[Quantity]]*Orders_Cleaned[[#This Row],[UnitPrice]]</f>
        <v>1132.25</v>
      </c>
    </row>
    <row r="1017" spans="1:15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  <c r="O1017" s="4">
        <f>Orders_Cleaned[[#This Row],[Quantity]]*Orders_Cleaned[[#This Row],[UnitPrice]]</f>
        <v>698.8</v>
      </c>
    </row>
    <row r="1018" spans="1:15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  <c r="O1018" s="4">
        <f>Orders_Cleaned[[#This Row],[Quantity]]*Orders_Cleaned[[#This Row],[UnitPrice]]</f>
        <v>1343.8999999999999</v>
      </c>
    </row>
    <row r="1019" spans="1:15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  <c r="O1019" s="4">
        <f>Orders_Cleaned[[#This Row],[Quantity]]*Orders_Cleaned[[#This Row],[UnitPrice]]</f>
        <v>1361.7</v>
      </c>
    </row>
    <row r="1020" spans="1:15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  <c r="O1020" s="4">
        <f>Orders_Cleaned[[#This Row],[Quantity]]*Orders_Cleaned[[#This Row],[UnitPrice]]</f>
        <v>547.43999999999994</v>
      </c>
    </row>
    <row r="1021" spans="1:15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  <c r="O1021" s="4">
        <f>Orders_Cleaned[[#This Row],[Quantity]]*Orders_Cleaned[[#This Row],[UnitPrice]]</f>
        <v>277.08999999999997</v>
      </c>
    </row>
    <row r="1022" spans="1:15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  <c r="O1022" s="4">
        <f>Orders_Cleaned[[#This Row],[Quantity]]*Orders_Cleaned[[#This Row],[UnitPrice]]</f>
        <v>53</v>
      </c>
    </row>
    <row r="1023" spans="1:15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  <c r="O1023" s="4">
        <f>Orders_Cleaned[[#This Row],[Quantity]]*Orders_Cleaned[[#This Row],[UnitPrice]]</f>
        <v>945.81</v>
      </c>
    </row>
    <row r="1024" spans="1:15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  <c r="O1024" s="4">
        <f>Orders_Cleaned[[#This Row],[Quantity]]*Orders_Cleaned[[#This Row],[UnitPrice]]</f>
        <v>1352.94</v>
      </c>
    </row>
    <row r="1025" spans="1:15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  <c r="O1025" s="4">
        <f>Orders_Cleaned[[#This Row],[Quantity]]*Orders_Cleaned[[#This Row],[UnitPrice]]</f>
        <v>1168.3499999999999</v>
      </c>
    </row>
    <row r="1026" spans="1:15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  <c r="O1026" s="4">
        <f>Orders_Cleaned[[#This Row],[Quantity]]*Orders_Cleaned[[#This Row],[UnitPrice]]</f>
        <v>1103.25</v>
      </c>
    </row>
    <row r="1027" spans="1:15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  <c r="O1027" s="4">
        <f>Orders_Cleaned[[#This Row],[Quantity]]*Orders_Cleaned[[#This Row],[UnitPrice]]</f>
        <v>23.53</v>
      </c>
    </row>
    <row r="1028" spans="1:15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  <c r="O1028" s="4">
        <f>Orders_Cleaned[[#This Row],[Quantity]]*Orders_Cleaned[[#This Row],[UnitPrice]]</f>
        <v>677.48</v>
      </c>
    </row>
    <row r="1029" spans="1:15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  <c r="O1029" s="4">
        <f>Orders_Cleaned[[#This Row],[Quantity]]*Orders_Cleaned[[#This Row],[UnitPrice]]</f>
        <v>2219.3200000000002</v>
      </c>
    </row>
    <row r="1030" spans="1:15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  <c r="O1030" s="4">
        <f>Orders_Cleaned[[#This Row],[Quantity]]*Orders_Cleaned[[#This Row],[UnitPrice]]</f>
        <v>1761.24</v>
      </c>
    </row>
    <row r="1031" spans="1:15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  <c r="O1031" s="4">
        <f>Orders_Cleaned[[#This Row],[Quantity]]*Orders_Cleaned[[#This Row],[UnitPrice]]</f>
        <v>87.06</v>
      </c>
    </row>
    <row r="1032" spans="1:15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  <c r="O1032" s="4">
        <f>Orders_Cleaned[[#This Row],[Quantity]]*Orders_Cleaned[[#This Row],[UnitPrice]]</f>
        <v>981.12</v>
      </c>
    </row>
    <row r="1033" spans="1:15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  <c r="O1033" s="4">
        <f>Orders_Cleaned[[#This Row],[Quantity]]*Orders_Cleaned[[#This Row],[UnitPrice]]</f>
        <v>3322.55</v>
      </c>
    </row>
    <row r="1034" spans="1:15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  <c r="O1034" s="4">
        <f>Orders_Cleaned[[#This Row],[Quantity]]*Orders_Cleaned[[#This Row],[UnitPrice]]</f>
        <v>618.67999999999995</v>
      </c>
    </row>
    <row r="1035" spans="1:15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  <c r="O1035" s="4">
        <f>Orders_Cleaned[[#This Row],[Quantity]]*Orders_Cleaned[[#This Row],[UnitPrice]]</f>
        <v>370.85</v>
      </c>
    </row>
    <row r="1036" spans="1:15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  <c r="O1036" s="4">
        <f>Orders_Cleaned[[#This Row],[Quantity]]*Orders_Cleaned[[#This Row],[UnitPrice]]</f>
        <v>2071.92</v>
      </c>
    </row>
    <row r="1037" spans="1:15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  <c r="O1037" s="4">
        <f>Orders_Cleaned[[#This Row],[Quantity]]*Orders_Cleaned[[#This Row],[UnitPrice]]</f>
        <v>2024.44</v>
      </c>
    </row>
    <row r="1038" spans="1:15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  <c r="O1038" s="4">
        <f>Orders_Cleaned[[#This Row],[Quantity]]*Orders_Cleaned[[#This Row],[UnitPrice]]</f>
        <v>1241.49</v>
      </c>
    </row>
    <row r="1039" spans="1:15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  <c r="O1039" s="4">
        <f>Orders_Cleaned[[#This Row],[Quantity]]*Orders_Cleaned[[#This Row],[UnitPrice]]</f>
        <v>249.81</v>
      </c>
    </row>
    <row r="1040" spans="1:15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  <c r="O1040" s="4">
        <f>Orders_Cleaned[[#This Row],[Quantity]]*Orders_Cleaned[[#This Row],[UnitPrice]]</f>
        <v>1087.5899999999999</v>
      </c>
    </row>
    <row r="1041" spans="1:15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  <c r="O1041" s="4">
        <f>Orders_Cleaned[[#This Row],[Quantity]]*Orders_Cleaned[[#This Row],[UnitPrice]]</f>
        <v>598.46</v>
      </c>
    </row>
    <row r="1042" spans="1:15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  <c r="O1042" s="4">
        <f>Orders_Cleaned[[#This Row],[Quantity]]*Orders_Cleaned[[#This Row],[UnitPrice]]</f>
        <v>536.07000000000005</v>
      </c>
    </row>
    <row r="1043" spans="1:15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  <c r="O1043" s="4">
        <f>Orders_Cleaned[[#This Row],[Quantity]]*Orders_Cleaned[[#This Row],[UnitPrice]]</f>
        <v>2235.6</v>
      </c>
    </row>
    <row r="1044" spans="1:15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  <c r="O1044" s="4">
        <f>Orders_Cleaned[[#This Row],[Quantity]]*Orders_Cleaned[[#This Row],[UnitPrice]]</f>
        <v>819.5</v>
      </c>
    </row>
    <row r="1045" spans="1:15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  <c r="O1045" s="4">
        <f>Orders_Cleaned[[#This Row],[Quantity]]*Orders_Cleaned[[#This Row],[UnitPrice]]</f>
        <v>359.92</v>
      </c>
    </row>
    <row r="1046" spans="1:15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  <c r="O1046" s="4">
        <f>Orders_Cleaned[[#This Row],[Quantity]]*Orders_Cleaned[[#This Row],[UnitPrice]]</f>
        <v>38.49</v>
      </c>
    </row>
    <row r="1047" spans="1:15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  <c r="O1047" s="4">
        <f>Orders_Cleaned[[#This Row],[Quantity]]*Orders_Cleaned[[#This Row],[UnitPrice]]</f>
        <v>1582</v>
      </c>
    </row>
    <row r="1048" spans="1:15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  <c r="O1048" s="4">
        <f>Orders_Cleaned[[#This Row],[Quantity]]*Orders_Cleaned[[#This Row],[UnitPrice]]</f>
        <v>1641.4499999999998</v>
      </c>
    </row>
    <row r="1049" spans="1:15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  <c r="O1049" s="4">
        <f>Orders_Cleaned[[#This Row],[Quantity]]*Orders_Cleaned[[#This Row],[UnitPrice]]</f>
        <v>2161.36</v>
      </c>
    </row>
    <row r="1050" spans="1:15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  <c r="O1050" s="4">
        <f>Orders_Cleaned[[#This Row],[Quantity]]*Orders_Cleaned[[#This Row],[UnitPrice]]</f>
        <v>294.60000000000002</v>
      </c>
    </row>
    <row r="1051" spans="1:15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  <c r="O1051" s="4">
        <f>Orders_Cleaned[[#This Row],[Quantity]]*Orders_Cleaned[[#This Row],[UnitPrice]]</f>
        <v>1959.3000000000002</v>
      </c>
    </row>
    <row r="1052" spans="1:15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  <c r="O1052" s="4">
        <f>Orders_Cleaned[[#This Row],[Quantity]]*Orders_Cleaned[[#This Row],[UnitPrice]]</f>
        <v>348.5</v>
      </c>
    </row>
    <row r="1053" spans="1:15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  <c r="O1053" s="4">
        <f>Orders_Cleaned[[#This Row],[Quantity]]*Orders_Cleaned[[#This Row],[UnitPrice]]</f>
        <v>132.15</v>
      </c>
    </row>
    <row r="1054" spans="1:15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  <c r="O1054" s="4">
        <f>Orders_Cleaned[[#This Row],[Quantity]]*Orders_Cleaned[[#This Row],[UnitPrice]]</f>
        <v>531.74</v>
      </c>
    </row>
    <row r="1055" spans="1:15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  <c r="O1055" s="4">
        <f>Orders_Cleaned[[#This Row],[Quantity]]*Orders_Cleaned[[#This Row],[UnitPrice]]</f>
        <v>993.24</v>
      </c>
    </row>
    <row r="1056" spans="1:15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  <c r="O1056" s="4">
        <f>Orders_Cleaned[[#This Row],[Quantity]]*Orders_Cleaned[[#This Row],[UnitPrice]]</f>
        <v>660.66</v>
      </c>
    </row>
    <row r="1057" spans="1:15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  <c r="O1057" s="4">
        <f>Orders_Cleaned[[#This Row],[Quantity]]*Orders_Cleaned[[#This Row],[UnitPrice]]</f>
        <v>1099.28</v>
      </c>
    </row>
    <row r="1058" spans="1:15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  <c r="O1058" s="4">
        <f>Orders_Cleaned[[#This Row],[Quantity]]*Orders_Cleaned[[#This Row],[UnitPrice]]</f>
        <v>972.7</v>
      </c>
    </row>
    <row r="1059" spans="1:15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  <c r="O1059" s="4">
        <f>Orders_Cleaned[[#This Row],[Quantity]]*Orders_Cleaned[[#This Row],[UnitPrice]]</f>
        <v>1286.6399999999999</v>
      </c>
    </row>
    <row r="1060" spans="1:15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  <c r="O1060" s="4">
        <f>Orders_Cleaned[[#This Row],[Quantity]]*Orders_Cleaned[[#This Row],[UnitPrice]]</f>
        <v>824.28</v>
      </c>
    </row>
    <row r="1061" spans="1:15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  <c r="O1061" s="4">
        <f>Orders_Cleaned[[#This Row],[Quantity]]*Orders_Cleaned[[#This Row],[UnitPrice]]</f>
        <v>265.64</v>
      </c>
    </row>
    <row r="1062" spans="1:15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  <c r="O1062" s="4">
        <f>Orders_Cleaned[[#This Row],[Quantity]]*Orders_Cleaned[[#This Row],[UnitPrice]]</f>
        <v>546.86</v>
      </c>
    </row>
    <row r="1063" spans="1:15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  <c r="O1063" s="4">
        <f>Orders_Cleaned[[#This Row],[Quantity]]*Orders_Cleaned[[#This Row],[UnitPrice]]</f>
        <v>658.5</v>
      </c>
    </row>
    <row r="1064" spans="1:15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  <c r="O1064" s="4">
        <f>Orders_Cleaned[[#This Row],[Quantity]]*Orders_Cleaned[[#This Row],[UnitPrice]]</f>
        <v>427.59999999999997</v>
      </c>
    </row>
    <row r="1065" spans="1:15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  <c r="O1065" s="4">
        <f>Orders_Cleaned[[#This Row],[Quantity]]*Orders_Cleaned[[#This Row],[UnitPrice]]</f>
        <v>641.36</v>
      </c>
    </row>
    <row r="1066" spans="1:15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  <c r="O1066" s="4">
        <f>Orders_Cleaned[[#This Row],[Quantity]]*Orders_Cleaned[[#This Row],[UnitPrice]]</f>
        <v>795.24</v>
      </c>
    </row>
    <row r="1067" spans="1:15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  <c r="O1067" s="4">
        <f>Orders_Cleaned[[#This Row],[Quantity]]*Orders_Cleaned[[#This Row],[UnitPrice]]</f>
        <v>3334</v>
      </c>
    </row>
    <row r="1068" spans="1:15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  <c r="O1068" s="4">
        <f>Orders_Cleaned[[#This Row],[Quantity]]*Orders_Cleaned[[#This Row],[UnitPrice]]</f>
        <v>355.09</v>
      </c>
    </row>
    <row r="1069" spans="1:15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  <c r="O1069" s="4">
        <f>Orders_Cleaned[[#This Row],[Quantity]]*Orders_Cleaned[[#This Row],[UnitPrice]]</f>
        <v>632.4</v>
      </c>
    </row>
    <row r="1070" spans="1:15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  <c r="O1070" s="4">
        <f>Orders_Cleaned[[#This Row],[Quantity]]*Orders_Cleaned[[#This Row],[UnitPrice]]</f>
        <v>133.38999999999999</v>
      </c>
    </row>
    <row r="1071" spans="1:15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  <c r="O1071" s="4">
        <f>Orders_Cleaned[[#This Row],[Quantity]]*Orders_Cleaned[[#This Row],[UnitPrice]]</f>
        <v>454.23</v>
      </c>
    </row>
    <row r="1072" spans="1:15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  <c r="O1072" s="4">
        <f>Orders_Cleaned[[#This Row],[Quantity]]*Orders_Cleaned[[#This Row],[UnitPrice]]</f>
        <v>1965.16</v>
      </c>
    </row>
    <row r="1073" spans="1:15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  <c r="O1073" s="4">
        <f>Orders_Cleaned[[#This Row],[Quantity]]*Orders_Cleaned[[#This Row],[UnitPrice]]</f>
        <v>510.28</v>
      </c>
    </row>
    <row r="1074" spans="1:15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  <c r="O1074" s="4">
        <f>Orders_Cleaned[[#This Row],[Quantity]]*Orders_Cleaned[[#This Row],[UnitPrice]]</f>
        <v>392.61</v>
      </c>
    </row>
    <row r="1075" spans="1:15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  <c r="O1075" s="4">
        <f>Orders_Cleaned[[#This Row],[Quantity]]*Orders_Cleaned[[#This Row],[UnitPrice]]</f>
        <v>1448.24</v>
      </c>
    </row>
    <row r="1076" spans="1:15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  <c r="O1076" s="4">
        <f>Orders_Cleaned[[#This Row],[Quantity]]*Orders_Cleaned[[#This Row],[UnitPrice]]</f>
        <v>222.73</v>
      </c>
    </row>
    <row r="1077" spans="1:15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  <c r="O1077" s="4">
        <f>Orders_Cleaned[[#This Row],[Quantity]]*Orders_Cleaned[[#This Row],[UnitPrice]]</f>
        <v>1105.26</v>
      </c>
    </row>
    <row r="1078" spans="1:15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  <c r="O1078" s="4">
        <f>Orders_Cleaned[[#This Row],[Quantity]]*Orders_Cleaned[[#This Row],[UnitPrice]]</f>
        <v>2746.44</v>
      </c>
    </row>
    <row r="1079" spans="1:15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  <c r="O1079" s="4">
        <f>Orders_Cleaned[[#This Row],[Quantity]]*Orders_Cleaned[[#This Row],[UnitPrice]]</f>
        <v>915.48</v>
      </c>
    </row>
    <row r="1080" spans="1:15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  <c r="O1080" s="4">
        <f>Orders_Cleaned[[#This Row],[Quantity]]*Orders_Cleaned[[#This Row],[UnitPrice]]</f>
        <v>41.09</v>
      </c>
    </row>
    <row r="1081" spans="1:15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  <c r="O1081" s="4">
        <f>Orders_Cleaned[[#This Row],[Quantity]]*Orders_Cleaned[[#This Row],[UnitPrice]]</f>
        <v>3170</v>
      </c>
    </row>
    <row r="1082" spans="1:15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  <c r="O1082" s="4">
        <f>Orders_Cleaned[[#This Row],[Quantity]]*Orders_Cleaned[[#This Row],[UnitPrice]]</f>
        <v>2323.6999999999998</v>
      </c>
    </row>
    <row r="1083" spans="1:15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  <c r="O1083" s="4">
        <f>Orders_Cleaned[[#This Row],[Quantity]]*Orders_Cleaned[[#This Row],[UnitPrice]]</f>
        <v>1702.4</v>
      </c>
    </row>
    <row r="1084" spans="1:15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  <c r="O1084" s="4">
        <f>Orders_Cleaned[[#This Row],[Quantity]]*Orders_Cleaned[[#This Row],[UnitPrice]]</f>
        <v>1719.66</v>
      </c>
    </row>
    <row r="1085" spans="1:15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  <c r="O1085" s="4">
        <f>Orders_Cleaned[[#This Row],[Quantity]]*Orders_Cleaned[[#This Row],[UnitPrice]]</f>
        <v>123.28</v>
      </c>
    </row>
    <row r="1086" spans="1:15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  <c r="O1086" s="4">
        <f>Orders_Cleaned[[#This Row],[Quantity]]*Orders_Cleaned[[#This Row],[UnitPrice]]</f>
        <v>70.819999999999993</v>
      </c>
    </row>
    <row r="1087" spans="1:15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  <c r="O1087" s="4">
        <f>Orders_Cleaned[[#This Row],[Quantity]]*Orders_Cleaned[[#This Row],[UnitPrice]]</f>
        <v>1293.3800000000001</v>
      </c>
    </row>
    <row r="1088" spans="1:15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  <c r="O1088" s="4">
        <f>Orders_Cleaned[[#This Row],[Quantity]]*Orders_Cleaned[[#This Row],[UnitPrice]]</f>
        <v>1026.8399999999999</v>
      </c>
    </row>
    <row r="1089" spans="1:15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  <c r="O1089" s="4">
        <f>Orders_Cleaned[[#This Row],[Quantity]]*Orders_Cleaned[[#This Row],[UnitPrice]]</f>
        <v>2772.28</v>
      </c>
    </row>
    <row r="1090" spans="1:15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  <c r="O1090" s="4">
        <f>Orders_Cleaned[[#This Row],[Quantity]]*Orders_Cleaned[[#This Row],[UnitPrice]]</f>
        <v>1474.29</v>
      </c>
    </row>
    <row r="1091" spans="1:15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  <c r="O1091" s="4">
        <f>Orders_Cleaned[[#This Row],[Quantity]]*Orders_Cleaned[[#This Row],[UnitPrice]]</f>
        <v>1199.48</v>
      </c>
    </row>
    <row r="1092" spans="1:15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  <c r="O1092" s="4">
        <f>Orders_Cleaned[[#This Row],[Quantity]]*Orders_Cleaned[[#This Row],[UnitPrice]]</f>
        <v>1300.5</v>
      </c>
    </row>
    <row r="1093" spans="1:15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  <c r="O1093" s="4">
        <f>Orders_Cleaned[[#This Row],[Quantity]]*Orders_Cleaned[[#This Row],[UnitPrice]]</f>
        <v>628.43999999999994</v>
      </c>
    </row>
    <row r="1094" spans="1:15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  <c r="O1094" s="4">
        <f>Orders_Cleaned[[#This Row],[Quantity]]*Orders_Cleaned[[#This Row],[UnitPrice]]</f>
        <v>1046</v>
      </c>
    </row>
    <row r="1095" spans="1:15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  <c r="O1095" s="4">
        <f>Orders_Cleaned[[#This Row],[Quantity]]*Orders_Cleaned[[#This Row],[UnitPrice]]</f>
        <v>789.44</v>
      </c>
    </row>
    <row r="1096" spans="1:15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  <c r="O1096" s="4">
        <f>Orders_Cleaned[[#This Row],[Quantity]]*Orders_Cleaned[[#This Row],[UnitPrice]]</f>
        <v>2595.64</v>
      </c>
    </row>
    <row r="1097" spans="1:15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  <c r="O1097" s="4">
        <f>Orders_Cleaned[[#This Row],[Quantity]]*Orders_Cleaned[[#This Row],[UnitPrice]]</f>
        <v>883.08</v>
      </c>
    </row>
    <row r="1098" spans="1:15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  <c r="O1098" s="4">
        <f>Orders_Cleaned[[#This Row],[Quantity]]*Orders_Cleaned[[#This Row],[UnitPrice]]</f>
        <v>929.84</v>
      </c>
    </row>
    <row r="1099" spans="1:15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  <c r="O1099" s="4">
        <f>Orders_Cleaned[[#This Row],[Quantity]]*Orders_Cleaned[[#This Row],[UnitPrice]]</f>
        <v>2532.25</v>
      </c>
    </row>
    <row r="1100" spans="1:15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  <c r="O1100" s="4">
        <f>Orders_Cleaned[[#This Row],[Quantity]]*Orders_Cleaned[[#This Row],[UnitPrice]]</f>
        <v>1023.44</v>
      </c>
    </row>
    <row r="1101" spans="1:15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  <c r="O1101" s="4">
        <f>Orders_Cleaned[[#This Row],[Quantity]]*Orders_Cleaned[[#This Row],[UnitPrice]]</f>
        <v>250.46</v>
      </c>
    </row>
    <row r="1102" spans="1:15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  <c r="O1102" s="4">
        <f>Orders_Cleaned[[#This Row],[Quantity]]*Orders_Cleaned[[#This Row],[UnitPrice]]</f>
        <v>190.55</v>
      </c>
    </row>
    <row r="1103" spans="1:15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  <c r="O1103" s="4">
        <f>Orders_Cleaned[[#This Row],[Quantity]]*Orders_Cleaned[[#This Row],[UnitPrice]]</f>
        <v>485.90999999999997</v>
      </c>
    </row>
    <row r="1104" spans="1:15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  <c r="O1104" s="4">
        <f>Orders_Cleaned[[#This Row],[Quantity]]*Orders_Cleaned[[#This Row],[UnitPrice]]</f>
        <v>1388.68</v>
      </c>
    </row>
    <row r="1105" spans="1:15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  <c r="O1105" s="4">
        <f>Orders_Cleaned[[#This Row],[Quantity]]*Orders_Cleaned[[#This Row],[UnitPrice]]</f>
        <v>1105.28</v>
      </c>
    </row>
    <row r="1106" spans="1:15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  <c r="O1106" s="4">
        <f>Orders_Cleaned[[#This Row],[Quantity]]*Orders_Cleaned[[#This Row],[UnitPrice]]</f>
        <v>1259.04</v>
      </c>
    </row>
    <row r="1107" spans="1:15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  <c r="O1107" s="4">
        <f>Orders_Cleaned[[#This Row],[Quantity]]*Orders_Cleaned[[#This Row],[UnitPrice]]</f>
        <v>1427.07</v>
      </c>
    </row>
    <row r="1108" spans="1:15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  <c r="O1108" s="4">
        <f>Orders_Cleaned[[#This Row],[Quantity]]*Orders_Cleaned[[#This Row],[UnitPrice]]</f>
        <v>372.8</v>
      </c>
    </row>
    <row r="1109" spans="1:15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  <c r="O1109" s="4">
        <f>Orders_Cleaned[[#This Row],[Quantity]]*Orders_Cleaned[[#This Row],[UnitPrice]]</f>
        <v>126.42</v>
      </c>
    </row>
    <row r="1110" spans="1:15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  <c r="O1110" s="4">
        <f>Orders_Cleaned[[#This Row],[Quantity]]*Orders_Cleaned[[#This Row],[UnitPrice]]</f>
        <v>634.94000000000005</v>
      </c>
    </row>
    <row r="1111" spans="1:15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  <c r="O1111" s="4">
        <f>Orders_Cleaned[[#This Row],[Quantity]]*Orders_Cleaned[[#This Row],[UnitPrice]]</f>
        <v>309.88</v>
      </c>
    </row>
    <row r="1112" spans="1:15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  <c r="O1112" s="4">
        <f>Orders_Cleaned[[#This Row],[Quantity]]*Orders_Cleaned[[#This Row],[UnitPrice]]</f>
        <v>252.93</v>
      </c>
    </row>
    <row r="1113" spans="1:15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  <c r="O1113" s="4">
        <f>Orders_Cleaned[[#This Row],[Quantity]]*Orders_Cleaned[[#This Row],[UnitPrice]]</f>
        <v>937.8</v>
      </c>
    </row>
    <row r="1114" spans="1:15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  <c r="O1114" s="4">
        <f>Orders_Cleaned[[#This Row],[Quantity]]*Orders_Cleaned[[#This Row],[UnitPrice]]</f>
        <v>356.81</v>
      </c>
    </row>
    <row r="1115" spans="1:15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  <c r="O1115" s="4">
        <f>Orders_Cleaned[[#This Row],[Quantity]]*Orders_Cleaned[[#This Row],[UnitPrice]]</f>
        <v>839.96</v>
      </c>
    </row>
    <row r="1116" spans="1:15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  <c r="O1116" s="4">
        <f>Orders_Cleaned[[#This Row],[Quantity]]*Orders_Cleaned[[#This Row],[UnitPrice]]</f>
        <v>1979.6399999999999</v>
      </c>
    </row>
    <row r="1117" spans="1:15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  <c r="O1117" s="4">
        <f>Orders_Cleaned[[#This Row],[Quantity]]*Orders_Cleaned[[#This Row],[UnitPrice]]</f>
        <v>672.64</v>
      </c>
    </row>
    <row r="1118" spans="1:15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  <c r="O1118" s="4">
        <f>Orders_Cleaned[[#This Row],[Quantity]]*Orders_Cleaned[[#This Row],[UnitPrice]]</f>
        <v>1062.98</v>
      </c>
    </row>
    <row r="1119" spans="1:15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  <c r="O1119" s="4">
        <f>Orders_Cleaned[[#This Row],[Quantity]]*Orders_Cleaned[[#This Row],[UnitPrice]]</f>
        <v>1765.3200000000002</v>
      </c>
    </row>
    <row r="1120" spans="1:15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  <c r="O1120" s="4">
        <f>Orders_Cleaned[[#This Row],[Quantity]]*Orders_Cleaned[[#This Row],[UnitPrice]]</f>
        <v>754.43999999999994</v>
      </c>
    </row>
    <row r="1121" spans="1:15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  <c r="O1121" s="4">
        <f>Orders_Cleaned[[#This Row],[Quantity]]*Orders_Cleaned[[#This Row],[UnitPrice]]</f>
        <v>684.65</v>
      </c>
    </row>
    <row r="1122" spans="1:15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  <c r="O1122" s="4">
        <f>Orders_Cleaned[[#This Row],[Quantity]]*Orders_Cleaned[[#This Row],[UnitPrice]]</f>
        <v>195.86</v>
      </c>
    </row>
    <row r="1123" spans="1:15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  <c r="O1123" s="4">
        <f>Orders_Cleaned[[#This Row],[Quantity]]*Orders_Cleaned[[#This Row],[UnitPrice]]</f>
        <v>151.02000000000001</v>
      </c>
    </row>
    <row r="1124" spans="1:15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  <c r="O1124" s="4">
        <f>Orders_Cleaned[[#This Row],[Quantity]]*Orders_Cleaned[[#This Row],[UnitPrice]]</f>
        <v>3390.9500000000003</v>
      </c>
    </row>
    <row r="1125" spans="1:15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  <c r="O1125" s="4">
        <f>Orders_Cleaned[[#This Row],[Quantity]]*Orders_Cleaned[[#This Row],[UnitPrice]]</f>
        <v>1662.75</v>
      </c>
    </row>
    <row r="1126" spans="1:15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  <c r="O1126" s="4">
        <f>Orders_Cleaned[[#This Row],[Quantity]]*Orders_Cleaned[[#This Row],[UnitPrice]]</f>
        <v>2307.48</v>
      </c>
    </row>
    <row r="1127" spans="1:15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  <c r="O1127" s="4">
        <f>Orders_Cleaned[[#This Row],[Quantity]]*Orders_Cleaned[[#This Row],[UnitPrice]]</f>
        <v>1633.44</v>
      </c>
    </row>
    <row r="1128" spans="1:15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  <c r="O1128" s="4">
        <f>Orders_Cleaned[[#This Row],[Quantity]]*Orders_Cleaned[[#This Row],[UnitPrice]]</f>
        <v>950.55000000000007</v>
      </c>
    </row>
    <row r="1129" spans="1:15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  <c r="O1129" s="4">
        <f>Orders_Cleaned[[#This Row],[Quantity]]*Orders_Cleaned[[#This Row],[UnitPrice]]</f>
        <v>1808.25</v>
      </c>
    </row>
    <row r="1130" spans="1:15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  <c r="O1130" s="4">
        <f>Orders_Cleaned[[#This Row],[Quantity]]*Orders_Cleaned[[#This Row],[UnitPrice]]</f>
        <v>1940.37</v>
      </c>
    </row>
    <row r="1131" spans="1:15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  <c r="O1131" s="4">
        <f>Orders_Cleaned[[#This Row],[Quantity]]*Orders_Cleaned[[#This Row],[UnitPrice]]</f>
        <v>1674.84</v>
      </c>
    </row>
    <row r="1132" spans="1:15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  <c r="O1132" s="4">
        <f>Orders_Cleaned[[#This Row],[Quantity]]*Orders_Cleaned[[#This Row],[UnitPrice]]</f>
        <v>646.9</v>
      </c>
    </row>
    <row r="1133" spans="1:15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  <c r="O1133" s="4">
        <f>Orders_Cleaned[[#This Row],[Quantity]]*Orders_Cleaned[[#This Row],[UnitPrice]]</f>
        <v>694.5</v>
      </c>
    </row>
    <row r="1134" spans="1:15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  <c r="O1134" s="4">
        <f>Orders_Cleaned[[#This Row],[Quantity]]*Orders_Cleaned[[#This Row],[UnitPrice]]</f>
        <v>674.64</v>
      </c>
    </row>
    <row r="1135" spans="1:15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  <c r="O1135" s="4">
        <f>Orders_Cleaned[[#This Row],[Quantity]]*Orders_Cleaned[[#This Row],[UnitPrice]]</f>
        <v>935.82</v>
      </c>
    </row>
    <row r="1136" spans="1:15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  <c r="O1136" s="4">
        <f>Orders_Cleaned[[#This Row],[Quantity]]*Orders_Cleaned[[#This Row],[UnitPrice]]</f>
        <v>153.12</v>
      </c>
    </row>
    <row r="1137" spans="1:15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  <c r="O1137" s="4">
        <f>Orders_Cleaned[[#This Row],[Quantity]]*Orders_Cleaned[[#This Row],[UnitPrice]]</f>
        <v>146.82</v>
      </c>
    </row>
    <row r="1138" spans="1:15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  <c r="O1138" s="4">
        <f>Orders_Cleaned[[#This Row],[Quantity]]*Orders_Cleaned[[#This Row],[UnitPrice]]</f>
        <v>2004.9900000000002</v>
      </c>
    </row>
    <row r="1139" spans="1:15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  <c r="O1139" s="4">
        <f>Orders_Cleaned[[#This Row],[Quantity]]*Orders_Cleaned[[#This Row],[UnitPrice]]</f>
        <v>1640.84</v>
      </c>
    </row>
    <row r="1140" spans="1:15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  <c r="O1140" s="4">
        <f>Orders_Cleaned[[#This Row],[Quantity]]*Orders_Cleaned[[#This Row],[UnitPrice]]</f>
        <v>1177.6400000000001</v>
      </c>
    </row>
    <row r="1141" spans="1:15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  <c r="O1141" s="4">
        <f>Orders_Cleaned[[#This Row],[Quantity]]*Orders_Cleaned[[#This Row],[UnitPrice]]</f>
        <v>1505.46</v>
      </c>
    </row>
    <row r="1142" spans="1:15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  <c r="O1142" s="4">
        <f>Orders_Cleaned[[#This Row],[Quantity]]*Orders_Cleaned[[#This Row],[UnitPrice]]</f>
        <v>1105.6600000000001</v>
      </c>
    </row>
    <row r="1143" spans="1:15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  <c r="O1143" s="4">
        <f>Orders_Cleaned[[#This Row],[Quantity]]*Orders_Cleaned[[#This Row],[UnitPrice]]</f>
        <v>1495.98</v>
      </c>
    </row>
    <row r="1144" spans="1:15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  <c r="O1144" s="4">
        <f>Orders_Cleaned[[#This Row],[Quantity]]*Orders_Cleaned[[#This Row],[UnitPrice]]</f>
        <v>2780.4</v>
      </c>
    </row>
    <row r="1145" spans="1:15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  <c r="O1145" s="4">
        <f>Orders_Cleaned[[#This Row],[Quantity]]*Orders_Cleaned[[#This Row],[UnitPrice]]</f>
        <v>381.61</v>
      </c>
    </row>
    <row r="1146" spans="1:15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  <c r="O1146" s="4">
        <f>Orders_Cleaned[[#This Row],[Quantity]]*Orders_Cleaned[[#This Row],[UnitPrice]]</f>
        <v>2539.6999999999998</v>
      </c>
    </row>
    <row r="1147" spans="1:15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  <c r="O1147" s="4">
        <f>Orders_Cleaned[[#This Row],[Quantity]]*Orders_Cleaned[[#This Row],[UnitPrice]]</f>
        <v>1714.59</v>
      </c>
    </row>
    <row r="1148" spans="1:15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  <c r="O1148" s="4">
        <f>Orders_Cleaned[[#This Row],[Quantity]]*Orders_Cleaned[[#This Row],[UnitPrice]]</f>
        <v>2107.1999999999998</v>
      </c>
    </row>
    <row r="1149" spans="1:15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  <c r="O1149" s="4">
        <f>Orders_Cleaned[[#This Row],[Quantity]]*Orders_Cleaned[[#This Row],[UnitPrice]]</f>
        <v>1176.5999999999999</v>
      </c>
    </row>
    <row r="1150" spans="1:15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  <c r="O1150" s="4">
        <f>Orders_Cleaned[[#This Row],[Quantity]]*Orders_Cleaned[[#This Row],[UnitPrice]]</f>
        <v>355.15</v>
      </c>
    </row>
    <row r="1151" spans="1:15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  <c r="O1151" s="4">
        <f>Orders_Cleaned[[#This Row],[Quantity]]*Orders_Cleaned[[#This Row],[UnitPrice]]</f>
        <v>1390.58</v>
      </c>
    </row>
    <row r="1152" spans="1:15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  <c r="O1152" s="4">
        <f>Orders_Cleaned[[#This Row],[Quantity]]*Orders_Cleaned[[#This Row],[UnitPrice]]</f>
        <v>1210.5999999999999</v>
      </c>
    </row>
    <row r="1153" spans="1:15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  <c r="O1153" s="4">
        <f>Orders_Cleaned[[#This Row],[Quantity]]*Orders_Cleaned[[#This Row],[UnitPrice]]</f>
        <v>1216.08</v>
      </c>
    </row>
    <row r="1154" spans="1:15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  <c r="O1154" s="4">
        <f>Orders_Cleaned[[#This Row],[Quantity]]*Orders_Cleaned[[#This Row],[UnitPrice]]</f>
        <v>688.36</v>
      </c>
    </row>
    <row r="1155" spans="1:15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  <c r="O1155" s="4">
        <f>Orders_Cleaned[[#This Row],[Quantity]]*Orders_Cleaned[[#This Row],[UnitPrice]]</f>
        <v>2786.84</v>
      </c>
    </row>
    <row r="1156" spans="1:15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  <c r="O1156" s="4">
        <f>Orders_Cleaned[[#This Row],[Quantity]]*Orders_Cleaned[[#This Row],[UnitPrice]]</f>
        <v>595.89</v>
      </c>
    </row>
    <row r="1157" spans="1:15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  <c r="O1157" s="4">
        <f>Orders_Cleaned[[#This Row],[Quantity]]*Orders_Cleaned[[#This Row],[UnitPrice]]</f>
        <v>2138.2800000000002</v>
      </c>
    </row>
    <row r="1158" spans="1:15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  <c r="O1158" s="4">
        <f>Orders_Cleaned[[#This Row],[Quantity]]*Orders_Cleaned[[#This Row],[UnitPrice]]</f>
        <v>2763.12</v>
      </c>
    </row>
    <row r="1159" spans="1:15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  <c r="O1159" s="4">
        <f>Orders_Cleaned[[#This Row],[Quantity]]*Orders_Cleaned[[#This Row],[UnitPrice]]</f>
        <v>904.65000000000009</v>
      </c>
    </row>
    <row r="1160" spans="1:15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  <c r="O1160" s="4">
        <f>Orders_Cleaned[[#This Row],[Quantity]]*Orders_Cleaned[[#This Row],[UnitPrice]]</f>
        <v>109.68</v>
      </c>
    </row>
    <row r="1161" spans="1:15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  <c r="O1161" s="4">
        <f>Orders_Cleaned[[#This Row],[Quantity]]*Orders_Cleaned[[#This Row],[UnitPrice]]</f>
        <v>1866.8</v>
      </c>
    </row>
    <row r="1162" spans="1:15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  <c r="O1162" s="4">
        <f>Orders_Cleaned[[#This Row],[Quantity]]*Orders_Cleaned[[#This Row],[UnitPrice]]</f>
        <v>541.64</v>
      </c>
    </row>
    <row r="1163" spans="1:15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  <c r="O1163" s="4">
        <f>Orders_Cleaned[[#This Row],[Quantity]]*Orders_Cleaned[[#This Row],[UnitPrice]]</f>
        <v>11.39</v>
      </c>
    </row>
    <row r="1164" spans="1:15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  <c r="O1164" s="4">
        <f>Orders_Cleaned[[#This Row],[Quantity]]*Orders_Cleaned[[#This Row],[UnitPrice]]</f>
        <v>448.74</v>
      </c>
    </row>
    <row r="1165" spans="1:15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  <c r="O1165" s="4">
        <f>Orders_Cleaned[[#This Row],[Quantity]]*Orders_Cleaned[[#This Row],[UnitPrice]]</f>
        <v>918.87000000000012</v>
      </c>
    </row>
    <row r="1166" spans="1:15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  <c r="O1166" s="4">
        <f>Orders_Cleaned[[#This Row],[Quantity]]*Orders_Cleaned[[#This Row],[UnitPrice]]</f>
        <v>1577.85</v>
      </c>
    </row>
    <row r="1167" spans="1:15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  <c r="O1167" s="4">
        <f>Orders_Cleaned[[#This Row],[Quantity]]*Orders_Cleaned[[#This Row],[UnitPrice]]</f>
        <v>671.37</v>
      </c>
    </row>
    <row r="1168" spans="1:15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  <c r="O1168" s="4">
        <f>Orders_Cleaned[[#This Row],[Quantity]]*Orders_Cleaned[[#This Row],[UnitPrice]]</f>
        <v>973.41000000000008</v>
      </c>
    </row>
    <row r="1169" spans="1:15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  <c r="O1169" s="4">
        <f>Orders_Cleaned[[#This Row],[Quantity]]*Orders_Cleaned[[#This Row],[UnitPrice]]</f>
        <v>185.74</v>
      </c>
    </row>
    <row r="1170" spans="1:15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  <c r="O1170" s="4">
        <f>Orders_Cleaned[[#This Row],[Quantity]]*Orders_Cleaned[[#This Row],[UnitPrice]]</f>
        <v>662.84</v>
      </c>
    </row>
    <row r="1171" spans="1:15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  <c r="O1171" s="4">
        <f>Orders_Cleaned[[#This Row],[Quantity]]*Orders_Cleaned[[#This Row],[UnitPrice]]</f>
        <v>525.42999999999995</v>
      </c>
    </row>
    <row r="1172" spans="1:15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  <c r="O1172" s="4">
        <f>Orders_Cleaned[[#This Row],[Quantity]]*Orders_Cleaned[[#This Row],[UnitPrice]]</f>
        <v>1394.38</v>
      </c>
    </row>
    <row r="1173" spans="1:15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  <c r="O1173" s="4">
        <f>Orders_Cleaned[[#This Row],[Quantity]]*Orders_Cleaned[[#This Row],[UnitPrice]]</f>
        <v>2073.6</v>
      </c>
    </row>
    <row r="1174" spans="1:15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  <c r="O1174" s="4">
        <f>Orders_Cleaned[[#This Row],[Quantity]]*Orders_Cleaned[[#This Row],[UnitPrice]]</f>
        <v>395.88</v>
      </c>
    </row>
    <row r="1175" spans="1:15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  <c r="O1175" s="4">
        <f>Orders_Cleaned[[#This Row],[Quantity]]*Orders_Cleaned[[#This Row],[UnitPrice]]</f>
        <v>208.36</v>
      </c>
    </row>
    <row r="1176" spans="1:15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  <c r="O1176" s="4">
        <f>Orders_Cleaned[[#This Row],[Quantity]]*Orders_Cleaned[[#This Row],[UnitPrice]]</f>
        <v>667.02</v>
      </c>
    </row>
    <row r="1177" spans="1:15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  <c r="O1177" s="4">
        <f>Orders_Cleaned[[#This Row],[Quantity]]*Orders_Cleaned[[#This Row],[UnitPrice]]</f>
        <v>275.21999999999997</v>
      </c>
    </row>
    <row r="1178" spans="1:15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  <c r="O1178" s="4">
        <f>Orders_Cleaned[[#This Row],[Quantity]]*Orders_Cleaned[[#This Row],[UnitPrice]]</f>
        <v>427.66</v>
      </c>
    </row>
    <row r="1179" spans="1:15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  <c r="O1179" s="4">
        <f>Orders_Cleaned[[#This Row],[Quantity]]*Orders_Cleaned[[#This Row],[UnitPrice]]</f>
        <v>127.55</v>
      </c>
    </row>
    <row r="1180" spans="1:15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  <c r="O1180" s="4">
        <f>Orders_Cleaned[[#This Row],[Quantity]]*Orders_Cleaned[[#This Row],[UnitPrice]]</f>
        <v>70.239999999999995</v>
      </c>
    </row>
    <row r="1181" spans="1:15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  <c r="O1181" s="4">
        <f>Orders_Cleaned[[#This Row],[Quantity]]*Orders_Cleaned[[#This Row],[UnitPrice]]</f>
        <v>2592.75</v>
      </c>
    </row>
    <row r="1182" spans="1:15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  <c r="O1182" s="4">
        <f>Orders_Cleaned[[#This Row],[Quantity]]*Orders_Cleaned[[#This Row],[UnitPrice]]</f>
        <v>1193.44</v>
      </c>
    </row>
    <row r="1183" spans="1:15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  <c r="O1183" s="4">
        <f>Orders_Cleaned[[#This Row],[Quantity]]*Orders_Cleaned[[#This Row],[UnitPrice]]</f>
        <v>476.22</v>
      </c>
    </row>
    <row r="1184" spans="1:15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  <c r="O1184" s="4">
        <f>Orders_Cleaned[[#This Row],[Quantity]]*Orders_Cleaned[[#This Row],[UnitPrice]]</f>
        <v>840.58</v>
      </c>
    </row>
    <row r="1185" spans="1:15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  <c r="O1185" s="4">
        <f>Orders_Cleaned[[#This Row],[Quantity]]*Orders_Cleaned[[#This Row],[UnitPrice]]</f>
        <v>281.52</v>
      </c>
    </row>
    <row r="1186" spans="1:15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  <c r="O1186" s="4">
        <f>Orders_Cleaned[[#This Row],[Quantity]]*Orders_Cleaned[[#This Row],[UnitPrice]]</f>
        <v>204.08</v>
      </c>
    </row>
    <row r="1187" spans="1:15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  <c r="O1187" s="4">
        <f>Orders_Cleaned[[#This Row],[Quantity]]*Orders_Cleaned[[#This Row],[UnitPrice]]</f>
        <v>343.31</v>
      </c>
    </row>
    <row r="1188" spans="1:15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  <c r="O1188" s="4">
        <f>Orders_Cleaned[[#This Row],[Quantity]]*Orders_Cleaned[[#This Row],[UnitPrice]]</f>
        <v>163.32</v>
      </c>
    </row>
    <row r="1189" spans="1:15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  <c r="O1189" s="4">
        <f>Orders_Cleaned[[#This Row],[Quantity]]*Orders_Cleaned[[#This Row],[UnitPrice]]</f>
        <v>369.2</v>
      </c>
    </row>
    <row r="1190" spans="1:15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  <c r="O1190" s="4">
        <f>Orders_Cleaned[[#This Row],[Quantity]]*Orders_Cleaned[[#This Row],[UnitPrice]]</f>
        <v>742.58</v>
      </c>
    </row>
    <row r="1191" spans="1:15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  <c r="O1191" s="4">
        <f>Orders_Cleaned[[#This Row],[Quantity]]*Orders_Cleaned[[#This Row],[UnitPrice]]</f>
        <v>1946.1000000000001</v>
      </c>
    </row>
    <row r="1192" spans="1:15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  <c r="O1192" s="4">
        <f>Orders_Cleaned[[#This Row],[Quantity]]*Orders_Cleaned[[#This Row],[UnitPrice]]</f>
        <v>1849.17</v>
      </c>
    </row>
    <row r="1193" spans="1:15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  <c r="O1193" s="4">
        <f>Orders_Cleaned[[#This Row],[Quantity]]*Orders_Cleaned[[#This Row],[UnitPrice]]</f>
        <v>1505.72</v>
      </c>
    </row>
    <row r="1194" spans="1:15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  <c r="O1194" s="4">
        <f>Orders_Cleaned[[#This Row],[Quantity]]*Orders_Cleaned[[#This Row],[UnitPrice]]</f>
        <v>1298.5500000000002</v>
      </c>
    </row>
    <row r="1195" spans="1:15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  <c r="O1195" s="4">
        <f>Orders_Cleaned[[#This Row],[Quantity]]*Orders_Cleaned[[#This Row],[UnitPrice]]</f>
        <v>687.89</v>
      </c>
    </row>
    <row r="1196" spans="1:15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  <c r="O1196" s="4">
        <f>Orders_Cleaned[[#This Row],[Quantity]]*Orders_Cleaned[[#This Row],[UnitPrice]]</f>
        <v>568.31999999999994</v>
      </c>
    </row>
    <row r="1197" spans="1:15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  <c r="O1197" s="4">
        <f>Orders_Cleaned[[#This Row],[Quantity]]*Orders_Cleaned[[#This Row],[UnitPrice]]</f>
        <v>107.04</v>
      </c>
    </row>
    <row r="1198" spans="1:15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  <c r="O1198" s="4">
        <f>Orders_Cleaned[[#This Row],[Quantity]]*Orders_Cleaned[[#This Row],[UnitPrice]]</f>
        <v>1325.06</v>
      </c>
    </row>
    <row r="1199" spans="1:15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  <c r="O1199" s="4">
        <f>Orders_Cleaned[[#This Row],[Quantity]]*Orders_Cleaned[[#This Row],[UnitPrice]]</f>
        <v>873.68</v>
      </c>
    </row>
    <row r="1200" spans="1:15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  <c r="O1200" s="4">
        <f>Orders_Cleaned[[#This Row],[Quantity]]*Orders_Cleaned[[#This Row],[UnitPrice]]</f>
        <v>1050.08</v>
      </c>
    </row>
    <row r="1201" spans="1:15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  <c r="O1201" s="4">
        <f>Orders_Cleaned[[#This Row],[Quantity]]*Orders_Cleaned[[#This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9033-2F12-48B3-BA92-B278BB4D1468}">
  <dimension ref="A1:F25"/>
  <sheetViews>
    <sheetView topLeftCell="A13" workbookViewId="0">
      <selection activeCell="H7" sqref="H7"/>
    </sheetView>
  </sheetViews>
  <sheetFormatPr defaultRowHeight="14.5" x14ac:dyDescent="0.35"/>
  <cols>
    <col min="1" max="1" width="31.08984375" customWidth="1"/>
    <col min="2" max="2" width="22.1796875" customWidth="1"/>
    <col min="3" max="3" width="17.90625" style="4" customWidth="1"/>
    <col min="4" max="4" width="21.81640625" customWidth="1"/>
    <col min="5" max="5" width="21.26953125" style="4" customWidth="1"/>
    <col min="6" max="6" width="21.08984375" customWidth="1"/>
  </cols>
  <sheetData>
    <row r="1" spans="1:6" x14ac:dyDescent="0.35">
      <c r="A1" s="14" t="s">
        <v>4309</v>
      </c>
      <c r="B1" s="15"/>
      <c r="C1" s="15"/>
      <c r="D1" s="15"/>
      <c r="E1" s="15"/>
      <c r="F1" s="15"/>
    </row>
    <row r="2" spans="1:6" x14ac:dyDescent="0.35">
      <c r="A2" s="15"/>
      <c r="B2" s="15"/>
      <c r="C2" s="15"/>
      <c r="D2" s="15"/>
      <c r="E2" s="15"/>
      <c r="F2" s="15"/>
    </row>
    <row r="4" spans="1:6" x14ac:dyDescent="0.35">
      <c r="A4" s="5" t="s">
        <v>4290</v>
      </c>
      <c r="B4" s="5" t="s">
        <v>4291</v>
      </c>
      <c r="C4" s="8" t="s">
        <v>4292</v>
      </c>
      <c r="D4" s="5" t="s">
        <v>4293</v>
      </c>
      <c r="E4" s="8" t="s">
        <v>4294</v>
      </c>
      <c r="F4" s="5" t="s">
        <v>4295</v>
      </c>
    </row>
    <row r="5" spans="1:6" x14ac:dyDescent="0.35">
      <c r="A5" s="6" t="s">
        <v>4285</v>
      </c>
      <c r="B5">
        <f>COUNT(Orders_Cleaned[Quantity])</f>
        <v>1200</v>
      </c>
      <c r="C5" s="4">
        <f>COUNT(Orders_Cleaned[UnitPrice])</f>
        <v>1200</v>
      </c>
      <c r="D5">
        <f>COUNT(Orders_Cleaned[ItemsInCart])</f>
        <v>1200</v>
      </c>
      <c r="E5" s="4">
        <f>COUNT(Orders_Cleaned[TotalPrice])</f>
        <v>1200</v>
      </c>
    </row>
    <row r="6" spans="1:6" x14ac:dyDescent="0.35">
      <c r="A6" s="6" t="s">
        <v>4286</v>
      </c>
      <c r="B6" s="7">
        <f>AVERAGE(Orders_Cleaned[Quantity])</f>
        <v>2.9458333333333333</v>
      </c>
      <c r="C6" s="4">
        <f>AVERAGE(Orders_Cleaned[UnitPrice])</f>
        <v>356.41275000000007</v>
      </c>
      <c r="D6" s="7">
        <f>AVERAGE(Orders_Cleaned[ItemsInCart])</f>
        <v>5.4850000000000003</v>
      </c>
      <c r="E6" s="4">
        <f>AVERAGE(Orders_Cleaned[TotalPrice])</f>
        <v>1053.9683000000005</v>
      </c>
    </row>
    <row r="7" spans="1:6" x14ac:dyDescent="0.35">
      <c r="A7" s="6" t="s">
        <v>4287</v>
      </c>
      <c r="B7">
        <f>MEDIAN(Orders_Cleaned[Quantity])</f>
        <v>3</v>
      </c>
      <c r="C7" s="4">
        <f>MEDIAN(Orders_Cleaned[UnitPrice])</f>
        <v>364.21</v>
      </c>
      <c r="D7">
        <f>MEDIAN(Orders_Cleaned[ItemsInCart])</f>
        <v>5</v>
      </c>
      <c r="E7" s="4">
        <f>MEDIAN(Orders_Cleaned[TotalPrice])</f>
        <v>823.61500000000001</v>
      </c>
    </row>
    <row r="8" spans="1:6" x14ac:dyDescent="0.35">
      <c r="A8" s="6" t="s">
        <v>4296</v>
      </c>
      <c r="B8" s="7">
        <f>_xlfn.STDEV.S(Orders_Cleaned[Quantity])</f>
        <v>1.4075570987983175</v>
      </c>
      <c r="C8" s="4">
        <f>_xlfn.STDEV.S(Orders_Cleaned[UnitPrice])</f>
        <v>197.17714641491236</v>
      </c>
      <c r="D8" s="7">
        <f>_xlfn.STDEV.S(Orders_Cleaned[ItemsInCart])</f>
        <v>2.2819833201028645</v>
      </c>
      <c r="E8" s="4">
        <f>_xlfn.STDEV.S(Orders_Cleaned[TotalPrice])</f>
        <v>819.85655836464559</v>
      </c>
    </row>
    <row r="9" spans="1:6" x14ac:dyDescent="0.35">
      <c r="A9" s="6" t="s">
        <v>4288</v>
      </c>
      <c r="B9">
        <f>MIN(Orders_Cleaned[Quantity])</f>
        <v>1</v>
      </c>
      <c r="C9" s="4">
        <f>MIN(Orders_Cleaned[UnitPrice])</f>
        <v>11.39</v>
      </c>
      <c r="D9">
        <f>MIN(Orders_Cleaned[ItemsInCart])</f>
        <v>1</v>
      </c>
      <c r="E9" s="4">
        <f>MIN(Orders_Cleaned[TotalPrice])</f>
        <v>11.39</v>
      </c>
    </row>
    <row r="10" spans="1:6" x14ac:dyDescent="0.35">
      <c r="A10" s="6" t="s">
        <v>4289</v>
      </c>
      <c r="B10">
        <f>MAX(Orders_Cleaned[Quantity])</f>
        <v>5</v>
      </c>
      <c r="C10" s="4">
        <f>MAX(Orders_Cleaned[UnitPrice])</f>
        <v>699.93</v>
      </c>
      <c r="D10">
        <f>MAX(Orders_Cleaned[ItemsInCart])</f>
        <v>10</v>
      </c>
      <c r="E10" s="4">
        <f>MAX(Orders_Cleaned[TotalPrice])</f>
        <v>3456.4</v>
      </c>
    </row>
    <row r="11" spans="1:6" x14ac:dyDescent="0.35">
      <c r="A11" s="6" t="s">
        <v>4297</v>
      </c>
      <c r="B11">
        <f>_xlfn.PERCENTILE.INC(Orders_Cleaned[Quantity], 0.25)</f>
        <v>2</v>
      </c>
      <c r="C11" s="4">
        <f>_xlfn.PERCENTILE.INC(Orders_Cleaned[UnitPrice], 0.25)</f>
        <v>186.0625</v>
      </c>
      <c r="D11">
        <f>_xlfn.PERCENTILE.INC(Orders_Cleaned[ItemsInCart], 0.25)</f>
        <v>4</v>
      </c>
      <c r="E11" s="4">
        <f>_xlfn.PERCENTILE.INC(Orders_Cleaned[TotalPrice], 0.25)</f>
        <v>410.52</v>
      </c>
    </row>
    <row r="12" spans="1:6" x14ac:dyDescent="0.35">
      <c r="A12" s="6" t="s">
        <v>4298</v>
      </c>
      <c r="B12">
        <f>_xlfn.PERCENTILE.INC(Orders_Cleaned[Quantity], 0.75)</f>
        <v>4</v>
      </c>
      <c r="C12" s="4">
        <f>_xlfn.PERCENTILE.INC(Orders_Cleaned[UnitPrice], 0.75)</f>
        <v>521.56999999999994</v>
      </c>
      <c r="D12">
        <f>_xlfn.PERCENTILE.INC(Orders_Cleaned[ItemsInCart], 0.75)</f>
        <v>7</v>
      </c>
      <c r="E12" s="4">
        <f>_xlfn.PERCENTILE.INC(Orders_Cleaned[TotalPrice], 0.75)</f>
        <v>1578.4749999999999</v>
      </c>
    </row>
    <row r="13" spans="1:6" x14ac:dyDescent="0.35">
      <c r="A13" s="6" t="s">
        <v>4299</v>
      </c>
      <c r="B13">
        <f>B12-B11</f>
        <v>2</v>
      </c>
      <c r="C13" s="4">
        <f t="shared" ref="C13:E13" si="0">C12-C11</f>
        <v>335.50749999999994</v>
      </c>
      <c r="D13">
        <f t="shared" si="0"/>
        <v>3</v>
      </c>
      <c r="E13" s="4">
        <f t="shared" si="0"/>
        <v>1167.9549999999999</v>
      </c>
    </row>
    <row r="14" spans="1:6" x14ac:dyDescent="0.35">
      <c r="A14" s="6" t="s">
        <v>4300</v>
      </c>
      <c r="B14">
        <f>B12+1.5*B13</f>
        <v>7</v>
      </c>
      <c r="C14" s="4">
        <f t="shared" ref="C14:E14" si="1">C12+1.5*C13</f>
        <v>1024.8312499999997</v>
      </c>
      <c r="D14">
        <f t="shared" si="1"/>
        <v>11.5</v>
      </c>
      <c r="E14" s="4">
        <f t="shared" si="1"/>
        <v>3330.4074999999998</v>
      </c>
    </row>
    <row r="15" spans="1:6" x14ac:dyDescent="0.35">
      <c r="A15" s="6" t="s">
        <v>4301</v>
      </c>
      <c r="B15">
        <f>COUNTIF(Orders_Cleaned[Quantity], "&gt;" &amp; EDA_Summary!B14)</f>
        <v>0</v>
      </c>
      <c r="C15">
        <f>COUNTIF(Orders_Cleaned[UnitPrice], "&gt;" &amp; EDA_Summary!C14)</f>
        <v>0</v>
      </c>
      <c r="D15">
        <f>COUNTIF(Orders_Cleaned[ShippingAddress], "&gt;" &amp; EDA_Summary!D14)</f>
        <v>0</v>
      </c>
      <c r="E15">
        <f>COUNTIF(Orders_Cleaned[PaymentMethod], "&gt;" &amp; EDA_Summary!E14)</f>
        <v>0</v>
      </c>
    </row>
    <row r="18" spans="1:4" ht="21" x14ac:dyDescent="0.5">
      <c r="A18" s="13" t="s">
        <v>4302</v>
      </c>
      <c r="B18" s="13"/>
      <c r="C18" s="13"/>
    </row>
    <row r="19" spans="1:4" ht="18.5" x14ac:dyDescent="0.45">
      <c r="A19" s="9" t="s">
        <v>4303</v>
      </c>
      <c r="B19" s="9" t="s">
        <v>4304</v>
      </c>
      <c r="C19" s="10" t="s">
        <v>4305</v>
      </c>
      <c r="D19" s="9" t="s">
        <v>4306</v>
      </c>
    </row>
    <row r="20" spans="1:4" x14ac:dyDescent="0.35">
      <c r="A20" s="6" t="s">
        <v>3071</v>
      </c>
      <c r="B20">
        <f>COUNTIF(Orders_Cleaned[OrderStatus], "Cancelled")</f>
        <v>250</v>
      </c>
      <c r="C20" s="4">
        <f>SUMIF(Orders_Cleaned[OrderStatus], "Cancelled", Orders_Cleaned[TotalPrice])</f>
        <v>276396.20999999996</v>
      </c>
      <c r="D20" s="12">
        <f>B20/SUM($B$20:$B$24)</f>
        <v>0.20833333333333334</v>
      </c>
    </row>
    <row r="21" spans="1:4" x14ac:dyDescent="0.35">
      <c r="A21" s="6" t="s">
        <v>3072</v>
      </c>
      <c r="B21">
        <f>COUNTIF(Orders_Cleaned[OrderStatus], "Returned")</f>
        <v>247</v>
      </c>
      <c r="C21" s="4">
        <f>SUMIF(Orders_Cleaned[OrderStatus], "Returned", Orders_Cleaned[TotalPrice])</f>
        <v>243277.70000000013</v>
      </c>
      <c r="D21" s="12">
        <f t="shared" ref="D21:D24" si="2">B21/SUM($B$20:$B$24)</f>
        <v>0.20583333333333334</v>
      </c>
    </row>
    <row r="22" spans="1:4" x14ac:dyDescent="0.35">
      <c r="A22" s="6" t="s">
        <v>3074</v>
      </c>
      <c r="B22">
        <f>COUNTIF(Orders_Cleaned[OrderStatus], "Pending")</f>
        <v>237</v>
      </c>
      <c r="C22" s="4">
        <f>SUMIF(Orders_Cleaned[OrderStatus], "Pending", Orders_Cleaned[TotalPrice])</f>
        <v>256328.15000000002</v>
      </c>
      <c r="D22" s="12">
        <f t="shared" si="2"/>
        <v>0.19750000000000001</v>
      </c>
    </row>
    <row r="23" spans="1:4" x14ac:dyDescent="0.35">
      <c r="A23" s="6" t="s">
        <v>3070</v>
      </c>
      <c r="B23">
        <f>COUNTIF(Orders_Cleaned[OrderStatus], "Shipped")</f>
        <v>235</v>
      </c>
      <c r="C23" s="4">
        <f>SUMIF(Orders_Cleaned[OrderStatus], "Shipped", Orders_Cleaned[TotalPrice])</f>
        <v>246159.57999999987</v>
      </c>
      <c r="D23" s="12">
        <f t="shared" si="2"/>
        <v>0.19583333333333333</v>
      </c>
    </row>
    <row r="24" spans="1:4" x14ac:dyDescent="0.35">
      <c r="A24" s="6" t="s">
        <v>4307</v>
      </c>
      <c r="B24">
        <f>COUNTIF(Orders_Cleaned[OrderStatus], "Delivered")</f>
        <v>231</v>
      </c>
      <c r="C24" s="4">
        <f>SUMIF(Orders_Cleaned[OrderStatus], "Delivered", Orders_Cleaned[TotalPrice])</f>
        <v>242600.31999999998</v>
      </c>
      <c r="D24" s="12">
        <f t="shared" si="2"/>
        <v>0.1925</v>
      </c>
    </row>
    <row r="25" spans="1:4" x14ac:dyDescent="0.35">
      <c r="A25" s="6" t="s">
        <v>4308</v>
      </c>
      <c r="B25">
        <f>SUM(B20:B24)</f>
        <v>1200</v>
      </c>
      <c r="C25" s="4">
        <f>SUM(C20:C24)</f>
        <v>1264761.96</v>
      </c>
      <c r="D25" s="11">
        <f>SUM(D20:D24)</f>
        <v>1</v>
      </c>
    </row>
  </sheetData>
  <mergeCells count="2">
    <mergeCell ref="A18:C18"/>
    <mergeCell ref="A1:F2"/>
  </mergeCells>
  <pageMargins left="0.7" right="0.7" top="0.75" bottom="0.75" header="0.3" footer="0.3"/>
  <ignoredErrors>
    <ignoredError sqref="B21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86078-1A70-48A9-8BCE-5DD77A37AD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Orders_Cleaned</vt:lpstr>
      <vt:lpstr>EDA_Summary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Barbara Dixon</cp:lastModifiedBy>
  <dcterms:created xsi:type="dcterms:W3CDTF">2025-06-21T13:19:12Z</dcterms:created>
  <dcterms:modified xsi:type="dcterms:W3CDTF">2026-09-09T18:11:33Z</dcterms:modified>
</cp:coreProperties>
</file>